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u-my.sharepoint.com/personal/esperling_westernu_edu/Documents/Research/Med student small group resilience/"/>
    </mc:Choice>
  </mc:AlternateContent>
  <xr:revisionPtr revIDLastSave="2882" documentId="11_F267BE23ED77001B69F269AC58E600700F24F759" xr6:coauthVersionLast="47" xr6:coauthVersionMax="47" xr10:uidLastSave="{AF3212E2-B8E4-4F94-89EF-6C0375E8419F}"/>
  <bookViews>
    <workbookView xWindow="-120" yWindow="-120" windowWidth="21840" windowHeight="13140" activeTab="5" xr2:uid="{00000000-000D-0000-FFFF-FFFF00000000}"/>
  </bookViews>
  <sheets>
    <sheet name="Intervention - T1" sheetId="4" r:id="rId1"/>
    <sheet name="Intervention - T2" sheetId="1" r:id="rId2"/>
    <sheet name="Control - T1" sheetId="2" r:id="rId3"/>
    <sheet name="Control - T2" sheetId="5" r:id="rId4"/>
    <sheet name="Total scores" sheetId="3" r:id="rId5"/>
    <sheet name="Coding" sheetId="6" r:id="rId6"/>
  </sheets>
  <definedNames>
    <definedName name="_xlnm._FilterDatabase" localSheetId="1" hidden="1">'Intervention - T2'!$B$2:$BI$11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9" i="5" l="1"/>
  <c r="BJ8" i="5"/>
  <c r="BJ7" i="5"/>
  <c r="BJ6" i="5"/>
  <c r="BJ5" i="5"/>
  <c r="BJ4" i="5"/>
  <c r="BJ3" i="5"/>
  <c r="AW9" i="5"/>
  <c r="AW8" i="5"/>
  <c r="AW7" i="5"/>
  <c r="AW6" i="5"/>
  <c r="AW5" i="5"/>
  <c r="AW4" i="5"/>
  <c r="AW3" i="5"/>
  <c r="W9" i="5"/>
  <c r="W8" i="5"/>
  <c r="W7" i="5"/>
  <c r="W6" i="5"/>
  <c r="W5" i="5"/>
  <c r="W4" i="5"/>
  <c r="W3" i="5"/>
  <c r="BJ10" i="2"/>
  <c r="BJ9" i="2"/>
  <c r="BJ8" i="2"/>
  <c r="BJ7" i="2"/>
  <c r="BJ6" i="2"/>
  <c r="BJ5" i="2"/>
  <c r="BJ4" i="2"/>
  <c r="BJ3" i="2"/>
  <c r="AW10" i="2"/>
  <c r="AW9" i="2"/>
  <c r="AW8" i="2"/>
  <c r="AW7" i="2"/>
  <c r="AW6" i="2"/>
  <c r="AW5" i="2"/>
  <c r="AW4" i="2"/>
  <c r="AW3" i="2"/>
  <c r="W10" i="2"/>
  <c r="W9" i="2"/>
  <c r="W8" i="2"/>
  <c r="W7" i="2"/>
  <c r="W6" i="2"/>
  <c r="W5" i="2"/>
  <c r="W4" i="2"/>
  <c r="W3" i="2"/>
  <c r="W4" i="1"/>
  <c r="BJ10" i="1"/>
  <c r="BJ9" i="1"/>
  <c r="BJ8" i="1"/>
  <c r="BJ7" i="1"/>
  <c r="BJ6" i="1"/>
  <c r="BJ5" i="1"/>
  <c r="BJ4" i="1"/>
  <c r="BJ3" i="1"/>
  <c r="AW10" i="1"/>
  <c r="AW9" i="1"/>
  <c r="AW8" i="1"/>
  <c r="AW7" i="1"/>
  <c r="AW6" i="1"/>
  <c r="AW5" i="1"/>
  <c r="AW4" i="1"/>
  <c r="AW3" i="1" s="1"/>
  <c r="W10" i="1"/>
  <c r="W9" i="1"/>
  <c r="W8" i="1"/>
  <c r="W7" i="1"/>
  <c r="W6" i="1"/>
  <c r="W5" i="1"/>
  <c r="W3" i="1"/>
</calcChain>
</file>

<file path=xl/sharedStrings.xml><?xml version="1.0" encoding="utf-8"?>
<sst xmlns="http://schemas.openxmlformats.org/spreadsheetml/2006/main" count="833" uniqueCount="227">
  <si>
    <t>ID</t>
  </si>
  <si>
    <t>Q2Demo</t>
  </si>
  <si>
    <t>Q3Demo</t>
  </si>
  <si>
    <t>Q4Demo</t>
  </si>
  <si>
    <t>Q5Demo</t>
  </si>
  <si>
    <t>Q6Demo</t>
  </si>
  <si>
    <t>Q7Demo</t>
  </si>
  <si>
    <t>Q8Demo</t>
  </si>
  <si>
    <t>Q1PSS</t>
  </si>
  <si>
    <t>Q2PSS</t>
  </si>
  <si>
    <t>Q3PSS</t>
  </si>
  <si>
    <t>Q4PSS</t>
  </si>
  <si>
    <t>Q5PSS</t>
  </si>
  <si>
    <t>Q6PSS</t>
  </si>
  <si>
    <t>Q7PSS</t>
  </si>
  <si>
    <t>Q8PSS</t>
  </si>
  <si>
    <t>Q9PSS</t>
  </si>
  <si>
    <t>Q10PSS</t>
  </si>
  <si>
    <t>Q11PSS</t>
  </si>
  <si>
    <t>Q12PSS</t>
  </si>
  <si>
    <t>Q13PSS</t>
  </si>
  <si>
    <t>Q14PSS</t>
  </si>
  <si>
    <t>PSS TOTAL</t>
  </si>
  <si>
    <t>Q1R+Y1:AW2ISC</t>
  </si>
  <si>
    <t>Q2RISC</t>
  </si>
  <si>
    <t>Q3RISC</t>
  </si>
  <si>
    <t>Q4RISC</t>
  </si>
  <si>
    <t>Q5RISC</t>
  </si>
  <si>
    <t>Q6RISC</t>
  </si>
  <si>
    <t>Q7RISC</t>
  </si>
  <si>
    <t>Q8RISC</t>
  </si>
  <si>
    <t>Q9RISC</t>
  </si>
  <si>
    <t>Q10RISC</t>
  </si>
  <si>
    <t>Q11RISC</t>
  </si>
  <si>
    <t>Q12RISC</t>
  </si>
  <si>
    <t>Q13RISC</t>
  </si>
  <si>
    <t>Q14RISC</t>
  </si>
  <si>
    <t>Q15RISC</t>
  </si>
  <si>
    <t>Q16RISC</t>
  </si>
  <si>
    <t>Q17RISC</t>
  </si>
  <si>
    <t>Q18RISC</t>
  </si>
  <si>
    <t>Q19RISC</t>
  </si>
  <si>
    <t>Q20RISC</t>
  </si>
  <si>
    <t>Q21RISC</t>
  </si>
  <si>
    <t>Q22RISC</t>
  </si>
  <si>
    <t>Q23RISC</t>
  </si>
  <si>
    <t>Q24RISC</t>
  </si>
  <si>
    <t>Q25RISC</t>
  </si>
  <si>
    <t>RISC TOTAL</t>
  </si>
  <si>
    <t>G1</t>
  </si>
  <si>
    <t>G2</t>
  </si>
  <si>
    <t>Q3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</si>
  <si>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</si>
  <si>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</si>
  <si>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</si>
  <si>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</si>
  <si>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</si>
  <si>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</si>
  <si>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</si>
  <si>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</si>
  <si>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</si>
  <si>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 TOTAL</t>
  </si>
  <si>
    <t>Year</t>
  </si>
  <si>
    <t>Please select your age:</t>
  </si>
  <si>
    <t>Please select your gender:</t>
  </si>
  <si>
    <t>Please select the race/ethnicity that you most closely identify with or that best represents your life experience:</t>
  </si>
  <si>
    <t>Please select which of the following best describes your sexuality:</t>
  </si>
  <si>
    <t>Please select which of the following most closely describes your socioeconomic status between the ages of 1-18:</t>
  </si>
  <si>
    <t>Do any of the following apply to you currently or in the past? (Choose all that apply)</t>
  </si>
  <si>
    <t>In the last month, how often have you been upset because of something that happened unexpectedly?</t>
  </si>
  <si>
    <t>In the last month, how often have you felt that you were unable to control important things in your life?</t>
  </si>
  <si>
    <t>In the last month, how often have you felt nervous and "stressed"?</t>
  </si>
  <si>
    <t>In the last month, how often have you dealt successfully with irritating life hassles?</t>
  </si>
  <si>
    <t>In the last month, how often have you felt that you were effectively coping with important changes that were occurring in your life?</t>
  </si>
  <si>
    <t>In the last month, how often have you felt confident about your ability to handle your personal problems?</t>
  </si>
  <si>
    <t>In the last month, how often have you felt that things were going your way?</t>
  </si>
  <si>
    <t>In the last month, how often have you found that you could not cope with all the things that you had to do?</t>
  </si>
  <si>
    <t>In the last month, how often have you been able to control irritations in your life?</t>
  </si>
  <si>
    <t>In the last month, how often have you felt that you were on top of things?</t>
  </si>
  <si>
    <t>In the last month, how often have you been angered because of things that happened that were outside of your control?</t>
  </si>
  <si>
    <t>In the last month, how often have you found yourself thinking about things that you have to accomplish?</t>
  </si>
  <si>
    <t>In the last month, how often have you been able to control the way your spend your time?</t>
  </si>
  <si>
    <t>In the last month, how often have you felt difficulties were piling up so high that you could not overcome them?</t>
  </si>
  <si>
    <t>I-1</t>
  </si>
  <si>
    <t>I am able to adapt when changes occur.</t>
  </si>
  <si>
    <t>I have at least one close and secure relationship that helps me when I am stressed.</t>
  </si>
  <si>
    <t>When there are no clear solutions to my problems, sometimes fate or a higher power can help.</t>
  </si>
  <si>
    <t>I can deal with whatever comes my way.</t>
  </si>
  <si>
    <t>Past successes give me confidence in dealing with new challenges and difficulties.</t>
  </si>
  <si>
    <t>I try to see the humorous side of things when I am faced with problems.</t>
  </si>
  <si>
    <t>Having to cope with stress can make me stronger.</t>
  </si>
  <si>
    <t>I tend to bounce back after illness, injury, or other hardships.</t>
  </si>
  <si>
    <t>Good or bad, I believe most things happen for a reason.</t>
  </si>
  <si>
    <t>I give my best effort no matter what the outcome may be.</t>
  </si>
  <si>
    <t>I believe I can achieve my goals, even if there are obstacles.</t>
  </si>
  <si>
    <t>Even when things look hopeless, I don't give up.</t>
  </si>
  <si>
    <t>During times of stress/crisis, I know where to turn for help.</t>
  </si>
  <si>
    <t>Under pressure, I stay focused and think clearly.</t>
  </si>
  <si>
    <t>I prefer to take the lead in solving problems rather than letting others make all the decisions.</t>
  </si>
  <si>
    <t>I am not easily discouraged by failure.</t>
  </si>
  <si>
    <t>I think of myself as a strong person when dealing with life's challenges and difficulties.</t>
  </si>
  <si>
    <t>I can make unpopular or difficult decisions that affect other people, if it is necessary.</t>
  </si>
  <si>
    <t>I am able to handle unpleasant or painful feelings like sadness, fear, and anger.</t>
  </si>
  <si>
    <t>In dealing with life's problems, sometimes you have to act on a hunch without knowing why.</t>
  </si>
  <si>
    <t>I have a strong sense of purpose in life.</t>
  </si>
  <si>
    <t>I feel in control of my life.</t>
  </si>
  <si>
    <t>I like challenges.</t>
  </si>
  <si>
    <t>I work to attain my goals no matter what roadblocks I encounter along the way.</t>
  </si>
  <si>
    <t>I take pride in my achievements.</t>
  </si>
  <si>
    <t>I - 1</t>
  </si>
  <si>
    <t>I have overcome setbacks to conquer an important challenge.</t>
  </si>
  <si>
    <t>New ideas and projects sometimes distract me from previous ones.</t>
  </si>
  <si>
    <t>My interests change from year to year.</t>
  </si>
  <si>
    <t>Setbacks don't discourage me.</t>
  </si>
  <si>
    <t>I have been obsessed with a certain idea or project for a short time but later lost interest.</t>
  </si>
  <si>
    <t>I am a hard worker.</t>
  </si>
  <si>
    <t>I often set a goal but later choose to pursue a different one.</t>
  </si>
  <si>
    <t>I have difficulty maintaining my focus on projects that take more than a few months to complete.</t>
  </si>
  <si>
    <t>I finish whatever I begin.</t>
  </si>
  <si>
    <t>I have achieved a goal that took years of work.</t>
  </si>
  <si>
    <t>I become interested in new pursuits every few months.</t>
  </si>
  <si>
    <t>I am diligent.</t>
  </si>
  <si>
    <t>2</t>
  </si>
  <si>
    <t>24</t>
  </si>
  <si>
    <t>Female</t>
  </si>
  <si>
    <t>White</t>
  </si>
  <si>
    <t>Heterosexual</t>
  </si>
  <si>
    <t>Middle-high</t>
  </si>
  <si>
    <t/>
  </si>
  <si>
    <t>25</t>
  </si>
  <si>
    <t>Middle</t>
  </si>
  <si>
    <t>I take or have taken medication for anxiety,I take or have taken medication for depression</t>
  </si>
  <si>
    <t>1</t>
  </si>
  <si>
    <t>Asian</t>
  </si>
  <si>
    <t>I suffer or have suffered from a psychological illness (including eating disorder)</t>
  </si>
  <si>
    <t>Male</t>
  </si>
  <si>
    <t>32</t>
  </si>
  <si>
    <t>I suffer or have suffered from a psychological illness (including eating disorder),I take or have taken medication for anxiety,I take or have taken medication for depression,I take or have taken medication for another psychological or mental condition</t>
  </si>
  <si>
    <t>36</t>
  </si>
  <si>
    <t>29</t>
  </si>
  <si>
    <t>27</t>
  </si>
  <si>
    <t>Low-middle</t>
  </si>
  <si>
    <t>PSS Total Score - T2</t>
  </si>
  <si>
    <t>Q1RISC</t>
  </si>
  <si>
    <t>RISC-25-T2 TOTAL</t>
  </si>
  <si>
    <t>G-T2 TOTAL</t>
  </si>
  <si>
    <t>Age</t>
  </si>
  <si>
    <t>Sex</t>
  </si>
  <si>
    <t>26</t>
  </si>
  <si>
    <t>I take or have taken medication for anxiety</t>
  </si>
  <si>
    <t>37</t>
  </si>
  <si>
    <t>30</t>
  </si>
  <si>
    <t>28</t>
  </si>
  <si>
    <t>Q1RIS+Y1:AS2C</t>
  </si>
  <si>
    <t>Are you an OMS-I or OMS-II at COMP-NW?</t>
  </si>
  <si>
    <t>C - 1</t>
  </si>
  <si>
    <t>C - 2</t>
  </si>
  <si>
    <t>C - 2+AY1:BH2</t>
  </si>
  <si>
    <t>C - T1</t>
  </si>
  <si>
    <t>Hispanic</t>
  </si>
  <si>
    <t>I take or have taken medication for another psychological or mental condition</t>
  </si>
  <si>
    <t>Bisexual</t>
  </si>
  <si>
    <t>I suffer or have suffered from a psychological illness (including eating disorder),I take or have taken medication for anxiety,I take or have taken medication for depression</t>
  </si>
  <si>
    <t>Low/poverty level or below</t>
  </si>
  <si>
    <t>23</t>
  </si>
  <si>
    <t>Biracial or multiracial</t>
  </si>
  <si>
    <t>G1+BAY1:BJ2</t>
  </si>
  <si>
    <t>C-2</t>
  </si>
  <si>
    <t>C2</t>
  </si>
  <si>
    <t>Bisexual,Pansexual</t>
  </si>
  <si>
    <t>Group</t>
  </si>
  <si>
    <t>Race</t>
  </si>
  <si>
    <t>Sex Or</t>
  </si>
  <si>
    <t>SES</t>
  </si>
  <si>
    <t>AxMedT1</t>
  </si>
  <si>
    <t>DepMedT1</t>
  </si>
  <si>
    <t>OthMedT1</t>
  </si>
  <si>
    <t>MentIllT1</t>
  </si>
  <si>
    <t>AxMedT2</t>
  </si>
  <si>
    <t>DepMedT2</t>
  </si>
  <si>
    <t>OthMedT2</t>
  </si>
  <si>
    <t>MentIllT2</t>
  </si>
  <si>
    <t>PSS - T1</t>
  </si>
  <si>
    <t>PSS - T2</t>
  </si>
  <si>
    <t>RISC - T1</t>
  </si>
  <si>
    <t>RISC - T2</t>
  </si>
  <si>
    <t>G - T1</t>
  </si>
  <si>
    <t>G - T2</t>
  </si>
  <si>
    <t>Sexuality</t>
  </si>
  <si>
    <t>Anxiety Meds</t>
  </si>
  <si>
    <t>Other psych meds</t>
  </si>
  <si>
    <t>1=Male</t>
  </si>
  <si>
    <t>1=white</t>
  </si>
  <si>
    <t>1=hetero</t>
  </si>
  <si>
    <t>1=Low</t>
  </si>
  <si>
    <t>0=no</t>
  </si>
  <si>
    <t>2=Female</t>
  </si>
  <si>
    <t>2=Asian</t>
  </si>
  <si>
    <t>2=bisexual</t>
  </si>
  <si>
    <t>2=midlow</t>
  </si>
  <si>
    <t>1=yes</t>
  </si>
  <si>
    <t>3=Hispanic</t>
  </si>
  <si>
    <t>3=mid</t>
  </si>
  <si>
    <t>4=Bi or multi</t>
  </si>
  <si>
    <t>4=midhigh</t>
  </si>
  <si>
    <t>5=high</t>
  </si>
  <si>
    <t>30.625-9.007</t>
  </si>
  <si>
    <t>26 - 7.964</t>
  </si>
  <si>
    <t>74.875-5.693</t>
  </si>
  <si>
    <t>76.75-9.498</t>
  </si>
  <si>
    <t>43.125-7.396</t>
  </si>
  <si>
    <t>43.5-8.332</t>
  </si>
  <si>
    <t>26.625-6.802</t>
  </si>
  <si>
    <t>29.714-7.017</t>
  </si>
  <si>
    <t>71.25-11.913</t>
  </si>
  <si>
    <t>67.286-8.655</t>
  </si>
  <si>
    <t>50-3.370</t>
  </si>
  <si>
    <t>43.143-3.532</t>
  </si>
  <si>
    <t>Mental illness</t>
  </si>
  <si>
    <t>Depression meds</t>
  </si>
  <si>
    <r>
      <rPr>
        <b/>
        <sz val="11"/>
        <color rgb="FF000000"/>
        <rFont val="Calibri"/>
        <family val="2"/>
        <scheme val="minor"/>
      </rPr>
      <t>PSS</t>
    </r>
    <r>
      <rPr>
        <sz val="11"/>
        <color indexed="8"/>
        <rFont val="Calibri"/>
        <family val="2"/>
        <scheme val="minor"/>
      </rPr>
      <t xml:space="preserve"> = Perceived Stress Scale-14</t>
    </r>
  </si>
  <si>
    <r>
      <rPr>
        <b/>
        <sz val="11"/>
        <color rgb="FF000000"/>
        <rFont val="Calibri"/>
        <family val="2"/>
        <scheme val="minor"/>
      </rPr>
      <t>RISC</t>
    </r>
    <r>
      <rPr>
        <sz val="11"/>
        <color indexed="8"/>
        <rFont val="Calibri"/>
        <family val="2"/>
        <scheme val="minor"/>
      </rPr>
      <t xml:space="preserve"> = Connor-Davidson Resilience Scale-25</t>
    </r>
  </si>
  <si>
    <r>
      <rPr>
        <b/>
        <sz val="11"/>
        <color rgb="FF000000"/>
        <rFont val="Calibri"/>
        <family val="2"/>
        <scheme val="minor"/>
      </rPr>
      <t>G</t>
    </r>
    <r>
      <rPr>
        <sz val="11"/>
        <color indexed="8"/>
        <rFont val="Calibri"/>
        <family val="2"/>
        <scheme val="minor"/>
      </rPr>
      <t xml:space="preserve"> = The Grit Scale-12</t>
    </r>
  </si>
  <si>
    <r>
      <rPr>
        <b/>
        <sz val="11"/>
        <color rgb="FF000000"/>
        <rFont val="Calibri"/>
        <family val="2"/>
        <scheme val="minor"/>
      </rPr>
      <t>T1</t>
    </r>
    <r>
      <rPr>
        <sz val="11"/>
        <color indexed="8"/>
        <rFont val="Calibri"/>
        <family val="2"/>
        <scheme val="minor"/>
      </rPr>
      <t xml:space="preserve"> = first time point, September 2022</t>
    </r>
  </si>
  <si>
    <r>
      <rPr>
        <b/>
        <sz val="11"/>
        <color rgb="FF000000"/>
        <rFont val="Calibri"/>
        <family val="2"/>
        <scheme val="minor"/>
      </rPr>
      <t>T2</t>
    </r>
    <r>
      <rPr>
        <sz val="11"/>
        <color indexed="8"/>
        <rFont val="Calibri"/>
        <family val="2"/>
        <scheme val="minor"/>
      </rPr>
      <t xml:space="preserve"> = second time point, May 2023</t>
    </r>
  </si>
  <si>
    <t>IDs 1-8: Intervention group</t>
  </si>
  <si>
    <t>IDs 20-27: Control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</si>
</sst>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2" fillId="0" borderId="0" xfId="0" applyFont="1"/>
    <xf numFmtId="0" fontId="2" fillId="4" borderId="1" xfId="0" applyFont="1" applyFill="1" applyBorder="1"/>
    <xf numFmtId="0" fontId="2" fillId="6" borderId="1" xfId="0" applyFont="1" applyFill="1" applyBorder="1"/>
    <xf numFmtId="0" fontId="2" fillId="5" borderId="1" xfId="0" applyFont="1" applyFill="1" applyBorder="1"/>
    <xf numFmtId="0" fontId="0" fillId="5" borderId="3" xfId="0" applyFill="1" applyBorder="1"/>
    <xf numFmtId="0" fontId="0" fillId="5" borderId="5" xfId="0" applyFill="1" applyBorder="1"/>
    <xf numFmtId="0" fontId="0" fillId="4" borderId="3" xfId="0" applyFill="1" applyBorder="1"/>
    <xf numFmtId="0" fontId="0" fillId="4" borderId="5" xfId="0" applyFill="1" applyBorder="1"/>
    <xf numFmtId="0" fontId="0" fillId="0" borderId="3" xfId="0" applyBorder="1"/>
    <xf numFmtId="0" fontId="0" fillId="4" borderId="2" xfId="0" applyFill="1" applyBorder="1"/>
    <xf numFmtId="0" fontId="0" fillId="4" borderId="4" xfId="0" applyFill="1" applyBorder="1"/>
    <xf numFmtId="0" fontId="0" fillId="0" borderId="2" xfId="0" applyBorder="1"/>
    <xf numFmtId="0" fontId="0" fillId="6" borderId="2" xfId="0" applyFill="1" applyBorder="1"/>
    <xf numFmtId="0" fontId="0" fillId="6" borderId="4" xfId="0" applyFill="1" applyBorder="1"/>
    <xf numFmtId="0" fontId="0" fillId="5" borderId="2" xfId="0" applyFill="1" applyBorder="1"/>
    <xf numFmtId="0" fontId="0" fillId="5" borderId="4" xfId="0" applyFill="1" applyBorder="1"/>
    <xf numFmtId="0" fontId="0" fillId="0" borderId="4" xfId="0" applyBorder="1"/>
    <xf numFmtId="0" fontId="2" fillId="4" borderId="6" xfId="0" applyFont="1" applyFill="1" applyBorder="1"/>
    <xf numFmtId="0" fontId="2" fillId="5" borderId="6" xfId="0" applyFont="1" applyFill="1" applyBorder="1"/>
    <xf numFmtId="0" fontId="0" fillId="7" borderId="0" xfId="0" applyFill="1"/>
    <xf numFmtId="0" fontId="0" fillId="6" borderId="0" xfId="0" applyFill="1"/>
    <xf numFmtId="0" fontId="3" fillId="0" borderId="0" xfId="0" applyFont="1"/>
    <xf numFmtId="0" fontId="0" fillId="0" borderId="5" xfId="0" applyBorder="1"/>
    <xf numFmtId="0" fontId="0" fillId="0" borderId="0" xfId="0" applyAlignment="1">
      <alignment wrapText="1"/>
    </xf>
    <xf numFmtId="0" fontId="2" fillId="2" borderId="1" xfId="0" applyFont="1" applyFill="1" applyBorder="1"/>
    <xf numFmtId="0" fontId="2" fillId="2" borderId="6" xfId="0" applyFont="1" applyFill="1" applyBorder="1"/>
    <xf numFmtId="0" fontId="0" fillId="5" borderId="0" xfId="0" applyFill="1" applyAlignment="1">
      <alignment horizontal="right"/>
    </xf>
    <xf numFmtId="1" fontId="0" fillId="0" borderId="0" xfId="0" applyNumberFormat="1" applyAlignment="1">
      <alignment wrapText="1"/>
    </xf>
    <xf numFmtId="1" fontId="0" fillId="4" borderId="0" xfId="0" applyNumberFormat="1" applyFill="1" applyAlignment="1">
      <alignment wrapText="1"/>
    </xf>
    <xf numFmtId="1" fontId="0" fillId="6" borderId="0" xfId="0" applyNumberFormat="1" applyFill="1" applyAlignment="1">
      <alignment wrapText="1"/>
    </xf>
    <xf numFmtId="1" fontId="0" fillId="5" borderId="0" xfId="0" applyNumberFormat="1" applyFill="1"/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1" fontId="0" fillId="4" borderId="8" xfId="0" applyNumberFormat="1" applyFill="1" applyBorder="1" applyAlignment="1">
      <alignment wrapText="1"/>
    </xf>
    <xf numFmtId="1" fontId="0" fillId="4" borderId="3" xfId="0" applyNumberFormat="1" applyFill="1" applyBorder="1" applyAlignment="1">
      <alignment wrapText="1"/>
    </xf>
    <xf numFmtId="0" fontId="0" fillId="4" borderId="7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5" borderId="7" xfId="0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1" fontId="0" fillId="7" borderId="0" xfId="0" applyNumberFormat="1" applyFill="1" applyAlignment="1">
      <alignment wrapText="1"/>
    </xf>
    <xf numFmtId="0" fontId="0" fillId="0" borderId="9" xfId="0" applyBorder="1"/>
    <xf numFmtId="0" fontId="0" fillId="8" borderId="2" xfId="0" applyFill="1" applyBorder="1"/>
    <xf numFmtId="0" fontId="0" fillId="8" borderId="0" xfId="0" applyFill="1"/>
    <xf numFmtId="0" fontId="0" fillId="8" borderId="0" xfId="0" applyFill="1" applyAlignment="1">
      <alignment wrapText="1"/>
    </xf>
    <xf numFmtId="0" fontId="0" fillId="8" borderId="3" xfId="0" applyFill="1" applyBorder="1"/>
    <xf numFmtId="0" fontId="0" fillId="8" borderId="3" xfId="0" applyFill="1" applyBorder="1" applyAlignment="1">
      <alignment wrapText="1"/>
    </xf>
    <xf numFmtId="1" fontId="0" fillId="8" borderId="3" xfId="0" applyNumberFormat="1" applyFill="1" applyBorder="1" applyAlignment="1">
      <alignment wrapText="1"/>
    </xf>
    <xf numFmtId="0" fontId="0" fillId="8" borderId="2" xfId="0" applyFill="1" applyBorder="1" applyAlignment="1">
      <alignment horizontal="right"/>
    </xf>
    <xf numFmtId="0" fontId="0" fillId="9" borderId="2" xfId="0" applyFill="1" applyBorder="1"/>
    <xf numFmtId="0" fontId="0" fillId="9" borderId="0" xfId="0" applyFill="1"/>
    <xf numFmtId="0" fontId="0" fillId="9" borderId="0" xfId="0" applyFill="1" applyAlignment="1">
      <alignment wrapText="1"/>
    </xf>
    <xf numFmtId="0" fontId="0" fillId="9" borderId="3" xfId="0" applyFill="1" applyBorder="1"/>
    <xf numFmtId="0" fontId="0" fillId="9" borderId="3" xfId="0" applyFill="1" applyBorder="1" applyAlignment="1">
      <alignment wrapText="1"/>
    </xf>
    <xf numFmtId="1" fontId="0" fillId="9" borderId="3" xfId="0" applyNumberFormat="1" applyFill="1" applyBorder="1" applyAlignment="1">
      <alignment wrapText="1"/>
    </xf>
    <xf numFmtId="0" fontId="0" fillId="9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4310-C28B-4E00-8C51-5F7FADCF6993}">
  <dimension ref="A1:BJ13"/>
  <sheetViews>
    <sheetView topLeftCell="C1" zoomScale="73" workbookViewId="0">
      <selection activeCell="BJ3" sqref="BJ3"/>
    </sheetView>
  </sheetViews>
  <sheetFormatPr defaultRowHeight="15" x14ac:dyDescent="0.25"/>
  <sheetData>
    <row r="1" spans="1:6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27" t="s">
        <v>46</v>
      </c>
      <c r="AV1" s="27" t="s">
        <v>47</v>
      </c>
      <c r="AW1" s="27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</row>
    <row r="2" spans="1:62" x14ac:dyDescent="0.25">
      <c r="A2" s="2"/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6" t="s">
        <v>69</v>
      </c>
      <c r="J2" s="26" t="s">
        <v>70</v>
      </c>
      <c r="K2" s="26" t="s">
        <v>71</v>
      </c>
      <c r="L2" s="26" t="s">
        <v>72</v>
      </c>
      <c r="M2" s="26" t="s">
        <v>73</v>
      </c>
      <c r="N2" s="26" t="s">
        <v>74</v>
      </c>
      <c r="O2" s="26" t="s">
        <v>75</v>
      </c>
      <c r="P2" s="26" t="s">
        <v>76</v>
      </c>
      <c r="Q2" s="26" t="s">
        <v>77</v>
      </c>
      <c r="R2" s="26" t="s">
        <v>78</v>
      </c>
      <c r="S2" s="26" t="s">
        <v>79</v>
      </c>
      <c r="T2" s="26" t="s">
        <v>80</v>
      </c>
      <c r="U2" s="26" t="s">
        <v>81</v>
      </c>
      <c r="V2" s="26" t="s">
        <v>82</v>
      </c>
      <c r="W2" s="26" t="s">
        <v>83</v>
      </c>
      <c r="X2" s="27" t="s">
        <v>84</v>
      </c>
      <c r="Y2" s="27" t="s">
        <v>85</v>
      </c>
      <c r="Z2" s="27" t="s">
        <v>86</v>
      </c>
      <c r="AA2" s="27" t="s">
        <v>87</v>
      </c>
      <c r="AB2" s="27" t="s">
        <v>88</v>
      </c>
      <c r="AC2" s="27" t="s">
        <v>89</v>
      </c>
      <c r="AD2" s="27" t="s">
        <v>90</v>
      </c>
      <c r="AE2" s="27" t="s">
        <v>91</v>
      </c>
      <c r="AF2" s="27" t="s">
        <v>92</v>
      </c>
      <c r="AG2" s="27" t="s">
        <v>93</v>
      </c>
      <c r="AH2" s="27" t="s">
        <v>94</v>
      </c>
      <c r="AI2" s="27" t="s">
        <v>95</v>
      </c>
      <c r="AJ2" s="27" t="s">
        <v>96</v>
      </c>
      <c r="AK2" s="27" t="s">
        <v>97</v>
      </c>
      <c r="AL2" s="27" t="s">
        <v>98</v>
      </c>
      <c r="AM2" s="27" t="s">
        <v>99</v>
      </c>
      <c r="AN2" s="27" t="s">
        <v>100</v>
      </c>
      <c r="AO2" s="27" t="s">
        <v>101</v>
      </c>
      <c r="AP2" s="27" t="s">
        <v>102</v>
      </c>
      <c r="AQ2" s="27" t="s">
        <v>103</v>
      </c>
      <c r="AR2" s="27" t="s">
        <v>104</v>
      </c>
      <c r="AS2" s="27" t="s">
        <v>105</v>
      </c>
      <c r="AT2" s="27" t="s">
        <v>106</v>
      </c>
      <c r="AU2" s="27" t="s">
        <v>107</v>
      </c>
      <c r="AV2" s="27" t="s">
        <v>108</v>
      </c>
      <c r="AW2" s="27" t="s">
        <v>109</v>
      </c>
      <c r="AX2" s="6" t="s">
        <v>110</v>
      </c>
      <c r="AY2" s="6" t="s">
        <v>111</v>
      </c>
      <c r="AZ2" s="6" t="s">
        <v>112</v>
      </c>
      <c r="BA2" s="6" t="s">
        <v>113</v>
      </c>
      <c r="BB2" s="6" t="s">
        <v>114</v>
      </c>
      <c r="BC2" s="6" t="s">
        <v>115</v>
      </c>
      <c r="BD2" s="6" t="s">
        <v>116</v>
      </c>
      <c r="BE2" s="6" t="s">
        <v>117</v>
      </c>
      <c r="BF2" s="6" t="s">
        <v>118</v>
      </c>
      <c r="BG2" s="6" t="s">
        <v>119</v>
      </c>
      <c r="BH2" s="6" t="s">
        <v>120</v>
      </c>
      <c r="BI2" s="6" t="s">
        <v>121</v>
      </c>
      <c r="BJ2" s="6" t="s">
        <v>109</v>
      </c>
    </row>
    <row r="3" spans="1:62" ht="30" x14ac:dyDescent="0.25">
      <c r="A3">
        <v>1</v>
      </c>
      <c r="B3" s="1" t="s">
        <v>122</v>
      </c>
      <c r="C3" s="1" t="s">
        <v>123</v>
      </c>
      <c r="D3" s="1" t="s">
        <v>124</v>
      </c>
      <c r="E3" s="1" t="s">
        <v>125</v>
      </c>
      <c r="F3" s="1" t="s">
        <v>126</v>
      </c>
      <c r="G3" s="1" t="s">
        <v>127</v>
      </c>
      <c r="H3" s="1" t="s">
        <v>128</v>
      </c>
      <c r="I3" s="30">
        <v>2</v>
      </c>
      <c r="J3" s="30">
        <v>3</v>
      </c>
      <c r="K3" s="30">
        <v>4</v>
      </c>
      <c r="L3" s="30">
        <v>1</v>
      </c>
      <c r="M3" s="30">
        <v>1</v>
      </c>
      <c r="N3" s="30">
        <v>1</v>
      </c>
      <c r="O3" s="30">
        <v>2</v>
      </c>
      <c r="P3" s="30">
        <v>3</v>
      </c>
      <c r="Q3" s="30">
        <v>2</v>
      </c>
      <c r="R3" s="30">
        <v>2</v>
      </c>
      <c r="S3" s="30">
        <v>2</v>
      </c>
      <c r="T3" s="30">
        <v>4</v>
      </c>
      <c r="U3" s="30">
        <v>3</v>
      </c>
      <c r="V3" s="30">
        <v>4</v>
      </c>
      <c r="W3" s="38">
        <v>34</v>
      </c>
      <c r="X3" s="30">
        <v>3</v>
      </c>
      <c r="Y3" s="30">
        <v>3</v>
      </c>
      <c r="Z3" s="30">
        <v>2</v>
      </c>
      <c r="AA3" s="30">
        <v>4</v>
      </c>
      <c r="AB3" s="30">
        <v>3</v>
      </c>
      <c r="AC3" s="30">
        <v>3</v>
      </c>
      <c r="AD3" s="30">
        <v>4</v>
      </c>
      <c r="AE3" s="30">
        <v>4</v>
      </c>
      <c r="AF3" s="30">
        <v>3</v>
      </c>
      <c r="AG3" s="30">
        <v>4</v>
      </c>
      <c r="AH3" s="30">
        <v>3</v>
      </c>
      <c r="AI3" s="30">
        <v>3</v>
      </c>
      <c r="AJ3" s="30">
        <v>2</v>
      </c>
      <c r="AK3" s="30">
        <v>2</v>
      </c>
      <c r="AL3" s="30">
        <v>3</v>
      </c>
      <c r="AM3" s="30">
        <v>3</v>
      </c>
      <c r="AN3" s="30">
        <v>4</v>
      </c>
      <c r="AO3" s="30">
        <v>1</v>
      </c>
      <c r="AP3" s="30">
        <v>4</v>
      </c>
      <c r="AQ3" s="30">
        <v>3</v>
      </c>
      <c r="AR3" s="30">
        <v>3</v>
      </c>
      <c r="AS3" s="30">
        <v>2</v>
      </c>
      <c r="AT3" s="30">
        <v>3</v>
      </c>
      <c r="AU3" s="30">
        <v>3</v>
      </c>
      <c r="AV3" s="30">
        <v>2</v>
      </c>
      <c r="AW3" s="39">
        <v>74</v>
      </c>
      <c r="AX3" s="30">
        <v>1</v>
      </c>
      <c r="AY3" s="30">
        <v>3</v>
      </c>
      <c r="AZ3" s="30">
        <v>4</v>
      </c>
      <c r="BA3" s="30">
        <v>2</v>
      </c>
      <c r="BB3" s="30">
        <v>3</v>
      </c>
      <c r="BC3" s="30">
        <v>5</v>
      </c>
      <c r="BD3" s="30">
        <v>3</v>
      </c>
      <c r="BE3" s="30">
        <v>4</v>
      </c>
      <c r="BF3" s="30">
        <v>4</v>
      </c>
      <c r="BG3" s="30">
        <v>4</v>
      </c>
      <c r="BH3" s="30">
        <v>3</v>
      </c>
      <c r="BI3" s="30">
        <v>4</v>
      </c>
      <c r="BJ3" s="33">
        <v>40</v>
      </c>
    </row>
    <row r="4" spans="1:62" ht="70.5" customHeight="1" x14ac:dyDescent="0.25">
      <c r="A4">
        <v>2</v>
      </c>
      <c r="B4" s="1" t="s">
        <v>122</v>
      </c>
      <c r="C4" s="1" t="s">
        <v>129</v>
      </c>
      <c r="D4" s="1" t="s">
        <v>124</v>
      </c>
      <c r="E4" s="1" t="s">
        <v>125</v>
      </c>
      <c r="F4" s="1" t="s">
        <v>126</v>
      </c>
      <c r="G4" s="1" t="s">
        <v>130</v>
      </c>
      <c r="H4" s="1" t="s">
        <v>131</v>
      </c>
      <c r="I4" s="30">
        <v>2</v>
      </c>
      <c r="J4" s="30">
        <v>2</v>
      </c>
      <c r="K4" s="30">
        <v>4</v>
      </c>
      <c r="L4" s="30">
        <v>1</v>
      </c>
      <c r="M4" s="30">
        <v>2</v>
      </c>
      <c r="N4" s="30">
        <v>2</v>
      </c>
      <c r="O4" s="30">
        <v>2</v>
      </c>
      <c r="P4" s="30">
        <v>1</v>
      </c>
      <c r="Q4" s="30">
        <v>2</v>
      </c>
      <c r="R4" s="30">
        <v>1</v>
      </c>
      <c r="S4" s="30">
        <v>2</v>
      </c>
      <c r="T4" s="30">
        <v>4</v>
      </c>
      <c r="U4" s="30">
        <v>4</v>
      </c>
      <c r="V4" s="30">
        <v>4</v>
      </c>
      <c r="W4" s="38">
        <v>33</v>
      </c>
      <c r="X4" s="30">
        <v>4</v>
      </c>
      <c r="Y4" s="30">
        <v>4</v>
      </c>
      <c r="Z4" s="30">
        <v>1</v>
      </c>
      <c r="AA4" s="30">
        <v>3</v>
      </c>
      <c r="AB4" s="30">
        <v>2</v>
      </c>
      <c r="AC4" s="30">
        <v>4</v>
      </c>
      <c r="AD4" s="30">
        <v>3</v>
      </c>
      <c r="AE4" s="30">
        <v>4</v>
      </c>
      <c r="AF4" s="30">
        <v>4</v>
      </c>
      <c r="AG4" s="30">
        <v>4</v>
      </c>
      <c r="AH4" s="30">
        <v>4</v>
      </c>
      <c r="AI4" s="30">
        <v>4</v>
      </c>
      <c r="AJ4" s="30">
        <v>3</v>
      </c>
      <c r="AK4" s="30">
        <v>4</v>
      </c>
      <c r="AL4" s="30">
        <v>4</v>
      </c>
      <c r="AM4" s="30">
        <v>4</v>
      </c>
      <c r="AN4" s="30">
        <v>4</v>
      </c>
      <c r="AO4" s="30">
        <v>4</v>
      </c>
      <c r="AP4" s="30">
        <v>3</v>
      </c>
      <c r="AQ4" s="30">
        <v>1</v>
      </c>
      <c r="AR4" s="30">
        <v>3</v>
      </c>
      <c r="AS4" s="30">
        <v>2</v>
      </c>
      <c r="AT4" s="30">
        <v>3</v>
      </c>
      <c r="AU4" s="30">
        <v>4</v>
      </c>
      <c r="AV4" s="30">
        <v>4</v>
      </c>
      <c r="AW4" s="39">
        <v>81</v>
      </c>
      <c r="AX4" s="30">
        <v>2</v>
      </c>
      <c r="AY4" s="30">
        <v>4</v>
      </c>
      <c r="AZ4" s="30">
        <v>5</v>
      </c>
      <c r="BA4" s="30">
        <v>4</v>
      </c>
      <c r="BB4" s="30">
        <v>5</v>
      </c>
      <c r="BC4" s="30">
        <v>5</v>
      </c>
      <c r="BD4" s="30">
        <v>5</v>
      </c>
      <c r="BE4" s="30">
        <v>4</v>
      </c>
      <c r="BF4" s="30">
        <v>5</v>
      </c>
      <c r="BG4" s="30">
        <v>5</v>
      </c>
      <c r="BH4" s="30">
        <v>4</v>
      </c>
      <c r="BI4" s="30">
        <v>5</v>
      </c>
      <c r="BJ4" s="33">
        <v>53</v>
      </c>
    </row>
    <row r="5" spans="1:62" ht="65.099999999999994" customHeight="1" x14ac:dyDescent="0.25">
      <c r="A5">
        <v>3</v>
      </c>
      <c r="B5" s="1" t="s">
        <v>132</v>
      </c>
      <c r="C5" s="1" t="s">
        <v>123</v>
      </c>
      <c r="D5" s="1" t="s">
        <v>124</v>
      </c>
      <c r="E5" s="1" t="s">
        <v>133</v>
      </c>
      <c r="F5" s="1" t="s">
        <v>126</v>
      </c>
      <c r="G5" s="1" t="s">
        <v>130</v>
      </c>
      <c r="H5" s="1" t="s">
        <v>134</v>
      </c>
      <c r="I5" s="30">
        <v>3</v>
      </c>
      <c r="J5" s="30">
        <v>3</v>
      </c>
      <c r="K5" s="30">
        <v>4</v>
      </c>
      <c r="L5" s="30">
        <v>2</v>
      </c>
      <c r="M5" s="30">
        <v>2</v>
      </c>
      <c r="N5" s="30">
        <v>2</v>
      </c>
      <c r="O5" s="30">
        <v>2</v>
      </c>
      <c r="P5" s="30">
        <v>3</v>
      </c>
      <c r="Q5" s="30">
        <v>2</v>
      </c>
      <c r="R5" s="30">
        <v>3</v>
      </c>
      <c r="S5" s="30">
        <v>1</v>
      </c>
      <c r="T5" s="30">
        <v>4</v>
      </c>
      <c r="U5" s="30">
        <v>1</v>
      </c>
      <c r="V5" s="30">
        <v>4</v>
      </c>
      <c r="W5" s="38">
        <v>36</v>
      </c>
      <c r="X5" s="30">
        <v>2</v>
      </c>
      <c r="Y5" s="30">
        <v>4</v>
      </c>
      <c r="Z5" s="30">
        <v>0</v>
      </c>
      <c r="AA5" s="30">
        <v>4</v>
      </c>
      <c r="AB5" s="30">
        <v>3</v>
      </c>
      <c r="AC5" s="30">
        <v>2</v>
      </c>
      <c r="AD5" s="30">
        <v>3</v>
      </c>
      <c r="AE5" s="30">
        <v>3</v>
      </c>
      <c r="AF5" s="30">
        <v>4</v>
      </c>
      <c r="AG5" s="30">
        <v>3</v>
      </c>
      <c r="AH5" s="30">
        <v>4</v>
      </c>
      <c r="AI5" s="30">
        <v>4</v>
      </c>
      <c r="AJ5" s="30">
        <v>2</v>
      </c>
      <c r="AK5" s="30">
        <v>2</v>
      </c>
      <c r="AL5" s="30">
        <v>3</v>
      </c>
      <c r="AM5" s="30">
        <v>2</v>
      </c>
      <c r="AN5" s="30">
        <v>3</v>
      </c>
      <c r="AO5" s="30">
        <v>1</v>
      </c>
      <c r="AP5" s="30">
        <v>2</v>
      </c>
      <c r="AQ5" s="30">
        <v>2</v>
      </c>
      <c r="AR5" s="30">
        <v>2</v>
      </c>
      <c r="AS5" s="30">
        <v>2</v>
      </c>
      <c r="AT5" s="30">
        <v>2</v>
      </c>
      <c r="AU5" s="30">
        <v>4</v>
      </c>
      <c r="AV5" s="30">
        <v>4</v>
      </c>
      <c r="AW5" s="39">
        <v>67</v>
      </c>
      <c r="AX5" s="30">
        <v>4</v>
      </c>
      <c r="AY5" s="30">
        <v>2</v>
      </c>
      <c r="AZ5" s="30">
        <v>3</v>
      </c>
      <c r="BA5" s="30">
        <v>3</v>
      </c>
      <c r="BB5" s="30">
        <v>1</v>
      </c>
      <c r="BC5" s="30">
        <v>5</v>
      </c>
      <c r="BD5" s="30">
        <v>3</v>
      </c>
      <c r="BE5" s="30">
        <v>2</v>
      </c>
      <c r="BF5" s="30">
        <v>3</v>
      </c>
      <c r="BG5" s="30">
        <v>5</v>
      </c>
      <c r="BH5" s="30">
        <v>2</v>
      </c>
      <c r="BI5" s="30">
        <v>5</v>
      </c>
      <c r="BJ5" s="6">
        <v>38</v>
      </c>
    </row>
    <row r="6" spans="1:62" ht="51.6" customHeight="1" x14ac:dyDescent="0.25">
      <c r="A6">
        <v>4</v>
      </c>
      <c r="B6" s="1" t="s">
        <v>132</v>
      </c>
      <c r="C6" s="1" t="s">
        <v>129</v>
      </c>
      <c r="D6" s="1" t="s">
        <v>135</v>
      </c>
      <c r="E6" s="1" t="s">
        <v>125</v>
      </c>
      <c r="F6" s="1" t="s">
        <v>126</v>
      </c>
      <c r="G6" s="1" t="s">
        <v>130</v>
      </c>
      <c r="H6" s="1" t="s">
        <v>134</v>
      </c>
      <c r="I6" s="30">
        <v>0</v>
      </c>
      <c r="J6" s="30">
        <v>1</v>
      </c>
      <c r="K6" s="30">
        <v>3</v>
      </c>
      <c r="L6" s="30">
        <v>0</v>
      </c>
      <c r="M6" s="30">
        <v>1</v>
      </c>
      <c r="N6" s="30">
        <v>1</v>
      </c>
      <c r="O6" s="30">
        <v>1</v>
      </c>
      <c r="P6" s="30">
        <v>0</v>
      </c>
      <c r="Q6" s="30">
        <v>0</v>
      </c>
      <c r="R6" s="30">
        <v>2</v>
      </c>
      <c r="S6" s="30">
        <v>0</v>
      </c>
      <c r="T6" s="30">
        <v>4</v>
      </c>
      <c r="U6" s="30">
        <v>1</v>
      </c>
      <c r="V6" s="30">
        <v>1</v>
      </c>
      <c r="W6" s="38">
        <v>15</v>
      </c>
      <c r="X6" s="30">
        <v>4</v>
      </c>
      <c r="Y6" s="30">
        <v>4</v>
      </c>
      <c r="Z6" s="30">
        <v>1</v>
      </c>
      <c r="AA6" s="30">
        <v>4</v>
      </c>
      <c r="AB6" s="30">
        <v>4</v>
      </c>
      <c r="AC6" s="30">
        <v>3</v>
      </c>
      <c r="AD6" s="30">
        <v>3</v>
      </c>
      <c r="AE6" s="30">
        <v>3</v>
      </c>
      <c r="AF6" s="30">
        <v>2</v>
      </c>
      <c r="AG6" s="30">
        <v>2</v>
      </c>
      <c r="AH6" s="30">
        <v>4</v>
      </c>
      <c r="AI6" s="30">
        <v>4</v>
      </c>
      <c r="AJ6" s="30">
        <v>3</v>
      </c>
      <c r="AK6" s="30">
        <v>3</v>
      </c>
      <c r="AL6" s="30">
        <v>4</v>
      </c>
      <c r="AM6" s="30">
        <v>2</v>
      </c>
      <c r="AN6" s="30">
        <v>4</v>
      </c>
      <c r="AO6" s="30">
        <v>3</v>
      </c>
      <c r="AP6" s="30">
        <v>3</v>
      </c>
      <c r="AQ6" s="30">
        <v>2</v>
      </c>
      <c r="AR6" s="30">
        <v>2</v>
      </c>
      <c r="AS6" s="30">
        <v>4</v>
      </c>
      <c r="AT6" s="30">
        <v>2</v>
      </c>
      <c r="AU6" s="30">
        <v>4</v>
      </c>
      <c r="AV6" s="30">
        <v>4</v>
      </c>
      <c r="AW6" s="39">
        <v>78</v>
      </c>
      <c r="AX6" s="30">
        <v>5</v>
      </c>
      <c r="AY6" s="30">
        <v>3</v>
      </c>
      <c r="AZ6" s="30">
        <v>3</v>
      </c>
      <c r="BA6" s="30">
        <v>4</v>
      </c>
      <c r="BB6" s="30">
        <v>1</v>
      </c>
      <c r="BC6" s="30">
        <v>5</v>
      </c>
      <c r="BD6" s="30">
        <v>2</v>
      </c>
      <c r="BE6" s="30">
        <v>3</v>
      </c>
      <c r="BF6" s="30">
        <v>4</v>
      </c>
      <c r="BG6" s="30">
        <v>5</v>
      </c>
      <c r="BH6" s="30">
        <v>3</v>
      </c>
      <c r="BI6" s="30">
        <v>5</v>
      </c>
      <c r="BJ6" s="6">
        <v>43</v>
      </c>
    </row>
    <row r="7" spans="1:62" ht="50.45" customHeight="1" x14ac:dyDescent="0.25">
      <c r="A7">
        <v>5</v>
      </c>
      <c r="B7" s="1" t="s">
        <v>122</v>
      </c>
      <c r="C7" s="1" t="s">
        <v>136</v>
      </c>
      <c r="D7" s="1" t="s">
        <v>124</v>
      </c>
      <c r="E7" s="1" t="s">
        <v>125</v>
      </c>
      <c r="F7" s="1" t="s">
        <v>126</v>
      </c>
      <c r="G7" s="1" t="s">
        <v>127</v>
      </c>
      <c r="H7" s="1" t="s">
        <v>137</v>
      </c>
      <c r="I7" s="30">
        <v>4</v>
      </c>
      <c r="J7" s="30">
        <v>4</v>
      </c>
      <c r="K7" s="30">
        <v>4</v>
      </c>
      <c r="L7" s="30">
        <v>2</v>
      </c>
      <c r="M7" s="30">
        <v>2</v>
      </c>
      <c r="N7" s="30">
        <v>2</v>
      </c>
      <c r="O7" s="30">
        <v>3</v>
      </c>
      <c r="P7" s="30">
        <v>3</v>
      </c>
      <c r="Q7" s="30">
        <v>3</v>
      </c>
      <c r="R7" s="30">
        <v>3</v>
      </c>
      <c r="S7" s="30">
        <v>4</v>
      </c>
      <c r="T7" s="30">
        <v>4</v>
      </c>
      <c r="U7" s="30">
        <v>2</v>
      </c>
      <c r="V7" s="30">
        <v>4</v>
      </c>
      <c r="W7" s="38">
        <v>44</v>
      </c>
      <c r="X7" s="30">
        <v>3</v>
      </c>
      <c r="Y7" s="30">
        <v>3</v>
      </c>
      <c r="Z7" s="30">
        <v>2</v>
      </c>
      <c r="AA7" s="30">
        <v>3</v>
      </c>
      <c r="AB7" s="30">
        <v>4</v>
      </c>
      <c r="AC7" s="30">
        <v>4</v>
      </c>
      <c r="AD7" s="30">
        <v>4</v>
      </c>
      <c r="AE7" s="30">
        <v>4</v>
      </c>
      <c r="AF7" s="30">
        <v>4</v>
      </c>
      <c r="AG7" s="30">
        <v>2</v>
      </c>
      <c r="AH7" s="30">
        <v>3</v>
      </c>
      <c r="AI7" s="30">
        <v>3</v>
      </c>
      <c r="AJ7" s="30">
        <v>1</v>
      </c>
      <c r="AK7" s="30">
        <v>1</v>
      </c>
      <c r="AL7" s="30">
        <v>4</v>
      </c>
      <c r="AM7" s="30">
        <v>3</v>
      </c>
      <c r="AN7" s="30">
        <v>4</v>
      </c>
      <c r="AO7" s="30">
        <v>3</v>
      </c>
      <c r="AP7" s="30">
        <v>3</v>
      </c>
      <c r="AQ7" s="30">
        <v>3</v>
      </c>
      <c r="AR7" s="30">
        <v>3</v>
      </c>
      <c r="AS7" s="30">
        <v>0</v>
      </c>
      <c r="AT7" s="30">
        <v>3</v>
      </c>
      <c r="AU7" s="30">
        <v>3</v>
      </c>
      <c r="AV7" s="30">
        <v>1</v>
      </c>
      <c r="AW7" s="39">
        <v>71</v>
      </c>
      <c r="AX7" s="30">
        <v>5</v>
      </c>
      <c r="AY7" s="30">
        <v>1</v>
      </c>
      <c r="AZ7" s="30">
        <v>4</v>
      </c>
      <c r="BA7" s="30">
        <v>4</v>
      </c>
      <c r="BB7" s="30">
        <v>4</v>
      </c>
      <c r="BC7" s="30">
        <v>4</v>
      </c>
      <c r="BD7" s="30">
        <v>4</v>
      </c>
      <c r="BE7" s="30">
        <v>3</v>
      </c>
      <c r="BF7" s="30">
        <v>4</v>
      </c>
      <c r="BG7" s="30">
        <v>5</v>
      </c>
      <c r="BH7" s="30">
        <v>4</v>
      </c>
      <c r="BI7" s="30">
        <v>3</v>
      </c>
      <c r="BJ7" s="6">
        <v>45</v>
      </c>
    </row>
    <row r="8" spans="1:62" ht="30" x14ac:dyDescent="0.25">
      <c r="A8">
        <v>6</v>
      </c>
      <c r="B8" s="1" t="s">
        <v>122</v>
      </c>
      <c r="C8" s="1" t="s">
        <v>138</v>
      </c>
      <c r="D8" s="1" t="s">
        <v>135</v>
      </c>
      <c r="E8" s="1" t="s">
        <v>125</v>
      </c>
      <c r="F8" s="1" t="s">
        <v>126</v>
      </c>
      <c r="G8" s="1" t="s">
        <v>130</v>
      </c>
      <c r="H8" s="1" t="s">
        <v>128</v>
      </c>
      <c r="I8" s="30">
        <v>2</v>
      </c>
      <c r="J8" s="30">
        <v>1</v>
      </c>
      <c r="K8" s="30">
        <v>3</v>
      </c>
      <c r="L8" s="30">
        <v>2</v>
      </c>
      <c r="M8" s="30">
        <v>1</v>
      </c>
      <c r="N8" s="30">
        <v>0</v>
      </c>
      <c r="O8" s="30">
        <v>1</v>
      </c>
      <c r="P8" s="30">
        <v>1</v>
      </c>
      <c r="Q8" s="30">
        <v>1</v>
      </c>
      <c r="R8" s="30">
        <v>2</v>
      </c>
      <c r="S8" s="30">
        <v>2</v>
      </c>
      <c r="T8" s="30">
        <v>4</v>
      </c>
      <c r="U8" s="30">
        <v>1</v>
      </c>
      <c r="V8" s="30">
        <v>1</v>
      </c>
      <c r="W8" s="38">
        <v>22</v>
      </c>
      <c r="X8" s="30">
        <v>4</v>
      </c>
      <c r="Y8" s="30">
        <v>4</v>
      </c>
      <c r="Z8" s="30">
        <v>2</v>
      </c>
      <c r="AA8" s="30">
        <v>4</v>
      </c>
      <c r="AB8" s="30">
        <v>3</v>
      </c>
      <c r="AC8" s="30">
        <v>3</v>
      </c>
      <c r="AD8" s="30">
        <v>2</v>
      </c>
      <c r="AE8" s="30">
        <v>4</v>
      </c>
      <c r="AF8" s="30">
        <v>2</v>
      </c>
      <c r="AG8" s="30">
        <v>3</v>
      </c>
      <c r="AH8" s="30">
        <v>4</v>
      </c>
      <c r="AI8" s="30">
        <v>4</v>
      </c>
      <c r="AJ8" s="30">
        <v>4</v>
      </c>
      <c r="AK8" s="30">
        <v>4</v>
      </c>
      <c r="AL8" s="30">
        <v>2</v>
      </c>
      <c r="AM8" s="30">
        <v>3</v>
      </c>
      <c r="AN8" s="30">
        <v>3</v>
      </c>
      <c r="AO8" s="30">
        <v>2</v>
      </c>
      <c r="AP8" s="30">
        <v>3</v>
      </c>
      <c r="AQ8" s="30">
        <v>2</v>
      </c>
      <c r="AR8" s="30">
        <v>3</v>
      </c>
      <c r="AS8" s="30">
        <v>3</v>
      </c>
      <c r="AT8" s="30">
        <v>2</v>
      </c>
      <c r="AU8" s="30">
        <v>3</v>
      </c>
      <c r="AV8" s="30">
        <v>3</v>
      </c>
      <c r="AW8" s="39">
        <v>76</v>
      </c>
      <c r="AX8" s="30">
        <v>4</v>
      </c>
      <c r="AY8" s="30">
        <v>1</v>
      </c>
      <c r="AZ8" s="30">
        <v>3</v>
      </c>
      <c r="BA8" s="30">
        <v>4</v>
      </c>
      <c r="BB8" s="30">
        <v>3</v>
      </c>
      <c r="BC8" s="30">
        <v>4</v>
      </c>
      <c r="BD8" s="30">
        <v>4</v>
      </c>
      <c r="BE8" s="30">
        <v>3</v>
      </c>
      <c r="BF8" s="30">
        <v>3</v>
      </c>
      <c r="BG8" s="30">
        <v>5</v>
      </c>
      <c r="BH8" s="30">
        <v>3</v>
      </c>
      <c r="BI8" s="30">
        <v>3</v>
      </c>
      <c r="BJ8" s="6">
        <v>42</v>
      </c>
    </row>
    <row r="9" spans="1:62" ht="55.5" customHeight="1" x14ac:dyDescent="0.25">
      <c r="A9">
        <v>7</v>
      </c>
      <c r="B9" s="1" t="s">
        <v>122</v>
      </c>
      <c r="C9" s="1" t="s">
        <v>139</v>
      </c>
      <c r="D9" s="1" t="s">
        <v>124</v>
      </c>
      <c r="E9" s="1" t="s">
        <v>125</v>
      </c>
      <c r="F9" s="1" t="s">
        <v>126</v>
      </c>
      <c r="G9" s="1" t="s">
        <v>130</v>
      </c>
      <c r="H9" s="1" t="s">
        <v>134</v>
      </c>
      <c r="I9" s="30">
        <v>2</v>
      </c>
      <c r="J9" s="30">
        <v>2</v>
      </c>
      <c r="K9" s="30">
        <v>4</v>
      </c>
      <c r="L9" s="30">
        <v>1</v>
      </c>
      <c r="M9" s="30">
        <v>2</v>
      </c>
      <c r="N9" s="30">
        <v>2</v>
      </c>
      <c r="O9" s="30">
        <v>3</v>
      </c>
      <c r="P9" s="30">
        <v>3</v>
      </c>
      <c r="Q9" s="30">
        <v>1</v>
      </c>
      <c r="R9" s="30">
        <v>2</v>
      </c>
      <c r="S9" s="30">
        <v>2</v>
      </c>
      <c r="T9" s="30">
        <v>4</v>
      </c>
      <c r="U9" s="30">
        <v>3</v>
      </c>
      <c r="V9" s="30">
        <v>3</v>
      </c>
      <c r="W9" s="38">
        <v>34</v>
      </c>
      <c r="X9" s="30">
        <v>4</v>
      </c>
      <c r="Y9" s="30">
        <v>4</v>
      </c>
      <c r="Z9" s="30">
        <v>0</v>
      </c>
      <c r="AA9" s="30">
        <v>4</v>
      </c>
      <c r="AB9" s="30">
        <v>2</v>
      </c>
      <c r="AC9" s="30">
        <v>3</v>
      </c>
      <c r="AD9" s="30">
        <v>2</v>
      </c>
      <c r="AE9" s="30">
        <v>3</v>
      </c>
      <c r="AF9" s="30">
        <v>4</v>
      </c>
      <c r="AG9" s="30">
        <v>3</v>
      </c>
      <c r="AH9" s="30">
        <v>3</v>
      </c>
      <c r="AI9" s="30">
        <v>2</v>
      </c>
      <c r="AJ9" s="30">
        <v>3</v>
      </c>
      <c r="AK9" s="30">
        <v>0</v>
      </c>
      <c r="AL9" s="30">
        <v>3</v>
      </c>
      <c r="AM9" s="30">
        <v>2</v>
      </c>
      <c r="AN9" s="30">
        <v>4</v>
      </c>
      <c r="AO9" s="30">
        <v>1</v>
      </c>
      <c r="AP9" s="30">
        <v>4</v>
      </c>
      <c r="AQ9" s="30">
        <v>3</v>
      </c>
      <c r="AR9" s="30">
        <v>3</v>
      </c>
      <c r="AS9" s="30">
        <v>2</v>
      </c>
      <c r="AT9" s="30">
        <v>3</v>
      </c>
      <c r="AU9" s="30">
        <v>3</v>
      </c>
      <c r="AV9" s="30">
        <v>4</v>
      </c>
      <c r="AW9" s="39">
        <v>69</v>
      </c>
      <c r="AX9" s="30">
        <v>5</v>
      </c>
      <c r="AY9" s="30">
        <v>3</v>
      </c>
      <c r="AZ9" s="30">
        <v>1</v>
      </c>
      <c r="BA9" s="30">
        <v>3</v>
      </c>
      <c r="BB9" s="30">
        <v>1</v>
      </c>
      <c r="BC9" s="30">
        <v>4</v>
      </c>
      <c r="BD9" s="30">
        <v>1</v>
      </c>
      <c r="BE9" s="30">
        <v>1</v>
      </c>
      <c r="BF9" s="30">
        <v>1</v>
      </c>
      <c r="BG9" s="30">
        <v>5</v>
      </c>
      <c r="BH9" s="30">
        <v>1</v>
      </c>
      <c r="BI9" s="30">
        <v>5</v>
      </c>
      <c r="BJ9" s="6">
        <v>31</v>
      </c>
    </row>
    <row r="10" spans="1:62" ht="30" x14ac:dyDescent="0.25">
      <c r="A10">
        <v>8</v>
      </c>
      <c r="B10" s="1" t="s">
        <v>122</v>
      </c>
      <c r="C10" s="1" t="s">
        <v>140</v>
      </c>
      <c r="D10" s="1" t="s">
        <v>124</v>
      </c>
      <c r="E10" s="1" t="s">
        <v>133</v>
      </c>
      <c r="F10" s="1" t="s">
        <v>126</v>
      </c>
      <c r="G10" s="1" t="s">
        <v>141</v>
      </c>
      <c r="H10" s="1" t="s">
        <v>128</v>
      </c>
      <c r="I10" s="30">
        <v>2</v>
      </c>
      <c r="J10" s="30">
        <v>4</v>
      </c>
      <c r="K10" s="30">
        <v>3</v>
      </c>
      <c r="L10" s="30">
        <v>1</v>
      </c>
      <c r="M10" s="30">
        <v>1</v>
      </c>
      <c r="N10" s="30">
        <v>0</v>
      </c>
      <c r="O10" s="30">
        <v>3</v>
      </c>
      <c r="P10" s="30">
        <v>2</v>
      </c>
      <c r="Q10" s="30">
        <v>2</v>
      </c>
      <c r="R10" s="30">
        <v>1</v>
      </c>
      <c r="S10" s="30">
        <v>2</v>
      </c>
      <c r="T10" s="30">
        <v>3</v>
      </c>
      <c r="U10" s="30">
        <v>1</v>
      </c>
      <c r="V10" s="30">
        <v>2</v>
      </c>
      <c r="W10" s="38">
        <v>27</v>
      </c>
      <c r="X10" s="30">
        <v>3</v>
      </c>
      <c r="Y10" s="30">
        <v>4</v>
      </c>
      <c r="Z10" s="30">
        <v>2</v>
      </c>
      <c r="AA10" s="30">
        <v>4</v>
      </c>
      <c r="AB10" s="30">
        <v>3</v>
      </c>
      <c r="AC10" s="30">
        <v>4</v>
      </c>
      <c r="AD10" s="30">
        <v>4</v>
      </c>
      <c r="AE10" s="30">
        <v>4</v>
      </c>
      <c r="AF10" s="30">
        <v>4</v>
      </c>
      <c r="AG10" s="30">
        <v>4</v>
      </c>
      <c r="AH10" s="30">
        <v>4</v>
      </c>
      <c r="AI10" s="30">
        <v>4</v>
      </c>
      <c r="AJ10" s="30">
        <v>2</v>
      </c>
      <c r="AK10" s="30">
        <v>2</v>
      </c>
      <c r="AL10" s="30">
        <v>4</v>
      </c>
      <c r="AM10" s="30">
        <v>3</v>
      </c>
      <c r="AN10" s="30">
        <v>4</v>
      </c>
      <c r="AO10" s="30">
        <v>2</v>
      </c>
      <c r="AP10" s="30">
        <v>3</v>
      </c>
      <c r="AQ10" s="30">
        <v>3</v>
      </c>
      <c r="AR10" s="30">
        <v>4</v>
      </c>
      <c r="AS10" s="30">
        <v>3</v>
      </c>
      <c r="AT10" s="30">
        <v>2</v>
      </c>
      <c r="AU10" s="30">
        <v>3</v>
      </c>
      <c r="AV10" s="30">
        <v>4</v>
      </c>
      <c r="AW10" s="39">
        <v>83</v>
      </c>
      <c r="AX10" s="30">
        <v>5</v>
      </c>
      <c r="AY10" s="30">
        <v>4</v>
      </c>
      <c r="AZ10" s="30">
        <v>4</v>
      </c>
      <c r="BA10" s="30">
        <v>5</v>
      </c>
      <c r="BB10" s="30">
        <v>4</v>
      </c>
      <c r="BC10" s="30">
        <v>5</v>
      </c>
      <c r="BD10" s="30">
        <v>5</v>
      </c>
      <c r="BE10" s="30">
        <v>4</v>
      </c>
      <c r="BF10" s="30">
        <v>5</v>
      </c>
      <c r="BG10" s="30">
        <v>3</v>
      </c>
      <c r="BH10" s="30">
        <v>4</v>
      </c>
      <c r="BI10" s="30">
        <v>5</v>
      </c>
      <c r="BJ10" s="6">
        <v>53</v>
      </c>
    </row>
    <row r="13" spans="1:62" x14ac:dyDescent="0.25">
      <c r="B13" s="1" t="s">
        <v>128</v>
      </c>
      <c r="C13" s="1" t="s">
        <v>128</v>
      </c>
      <c r="D13" s="1" t="s">
        <v>128</v>
      </c>
      <c r="E13" s="1" t="s">
        <v>128</v>
      </c>
      <c r="F13" s="1" t="s">
        <v>128</v>
      </c>
      <c r="G13" s="1" t="s">
        <v>128</v>
      </c>
      <c r="H13" s="1" t="s">
        <v>128</v>
      </c>
      <c r="I13" s="1" t="s">
        <v>128</v>
      </c>
      <c r="J13" s="1" t="s">
        <v>128</v>
      </c>
      <c r="K13" s="1" t="s">
        <v>128</v>
      </c>
      <c r="L13" s="1" t="s">
        <v>128</v>
      </c>
      <c r="M13" s="1" t="s">
        <v>128</v>
      </c>
      <c r="N13" s="1" t="s">
        <v>128</v>
      </c>
      <c r="O13" s="1" t="s">
        <v>128</v>
      </c>
      <c r="P13" s="1" t="s">
        <v>128</v>
      </c>
      <c r="Q13" s="1" t="s">
        <v>128</v>
      </c>
      <c r="R13" s="1" t="s">
        <v>128</v>
      </c>
      <c r="S13" s="1" t="s">
        <v>128</v>
      </c>
      <c r="T13" s="1" t="s">
        <v>128</v>
      </c>
      <c r="U13" s="1" t="s">
        <v>128</v>
      </c>
      <c r="V13" s="1" t="s">
        <v>128</v>
      </c>
      <c r="W13" s="1"/>
      <c r="X13" s="1" t="s">
        <v>128</v>
      </c>
      <c r="Y13" s="1" t="s">
        <v>128</v>
      </c>
      <c r="Z13" s="1" t="s">
        <v>128</v>
      </c>
      <c r="AA13" s="1" t="s">
        <v>128</v>
      </c>
      <c r="AB13" s="1" t="s">
        <v>128</v>
      </c>
      <c r="AC13" s="1" t="s">
        <v>128</v>
      </c>
      <c r="AD13" s="1" t="s">
        <v>128</v>
      </c>
      <c r="AE13" s="1" t="s">
        <v>128</v>
      </c>
      <c r="AF13" s="1" t="s">
        <v>128</v>
      </c>
      <c r="AG13" s="1" t="s">
        <v>128</v>
      </c>
      <c r="AH13" s="1" t="s">
        <v>128</v>
      </c>
      <c r="AI13" s="1" t="s">
        <v>128</v>
      </c>
      <c r="AJ13" s="1" t="s">
        <v>128</v>
      </c>
      <c r="AK13" s="1" t="s">
        <v>128</v>
      </c>
      <c r="AL13" s="1" t="s">
        <v>128</v>
      </c>
      <c r="AM13" s="1" t="s">
        <v>128</v>
      </c>
      <c r="AN13" s="1" t="s">
        <v>128</v>
      </c>
      <c r="AO13" s="1" t="s">
        <v>128</v>
      </c>
      <c r="AP13" s="1" t="s">
        <v>128</v>
      </c>
      <c r="AQ13" s="1" t="s">
        <v>128</v>
      </c>
      <c r="AR13" s="1" t="s">
        <v>128</v>
      </c>
      <c r="AS13" s="1" t="s">
        <v>128</v>
      </c>
      <c r="AT13" s="1" t="s">
        <v>128</v>
      </c>
      <c r="AU13" s="1" t="s">
        <v>128</v>
      </c>
      <c r="AV13" s="1" t="s">
        <v>128</v>
      </c>
      <c r="AW13" s="1"/>
      <c r="AX13" s="1" t="s">
        <v>128</v>
      </c>
      <c r="AY13" s="1" t="s">
        <v>128</v>
      </c>
      <c r="AZ13" s="1" t="s">
        <v>128</v>
      </c>
      <c r="BA13" s="1" t="s">
        <v>128</v>
      </c>
      <c r="BB13" s="1" t="s">
        <v>128</v>
      </c>
      <c r="BC13" s="1" t="s">
        <v>128</v>
      </c>
      <c r="BD13" s="1" t="s">
        <v>128</v>
      </c>
      <c r="BE13" s="1" t="s">
        <v>128</v>
      </c>
      <c r="BF13" s="1" t="s">
        <v>128</v>
      </c>
      <c r="BG13" s="1" t="s">
        <v>128</v>
      </c>
      <c r="BH13" s="1" t="s">
        <v>128</v>
      </c>
      <c r="BI13" s="1" t="s">
        <v>128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"/>
  <sheetViews>
    <sheetView zoomScale="67" workbookViewId="0">
      <selection activeCell="H7" sqref="H7"/>
    </sheetView>
  </sheetViews>
  <sheetFormatPr defaultRowHeight="15" x14ac:dyDescent="0.25"/>
  <sheetData>
    <row r="1" spans="1:6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142</v>
      </c>
      <c r="X1" s="3" t="s">
        <v>143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144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6" t="s">
        <v>145</v>
      </c>
    </row>
    <row r="2" spans="1:62" x14ac:dyDescent="0.25">
      <c r="A2" s="2"/>
      <c r="B2" s="2" t="s">
        <v>62</v>
      </c>
      <c r="C2" s="2" t="s">
        <v>146</v>
      </c>
      <c r="D2" s="2" t="s">
        <v>147</v>
      </c>
      <c r="E2" s="2" t="s">
        <v>65</v>
      </c>
      <c r="F2" s="2" t="s">
        <v>66</v>
      </c>
      <c r="G2" s="2" t="s">
        <v>67</v>
      </c>
      <c r="H2" s="2" t="s">
        <v>68</v>
      </c>
      <c r="I2" s="4" t="s">
        <v>69</v>
      </c>
      <c r="J2" s="4" t="s">
        <v>70</v>
      </c>
      <c r="K2" s="4" t="s">
        <v>71</v>
      </c>
      <c r="L2" s="4" t="s">
        <v>72</v>
      </c>
      <c r="M2" s="4" t="s">
        <v>73</v>
      </c>
      <c r="N2" s="4" t="s">
        <v>74</v>
      </c>
      <c r="O2" s="4" t="s">
        <v>75</v>
      </c>
      <c r="P2" s="4" t="s">
        <v>76</v>
      </c>
      <c r="Q2" s="4" t="s">
        <v>77</v>
      </c>
      <c r="R2" s="4" t="s">
        <v>78</v>
      </c>
      <c r="S2" s="4" t="s">
        <v>79</v>
      </c>
      <c r="T2" s="4" t="s">
        <v>80</v>
      </c>
      <c r="U2" s="4" t="s">
        <v>81</v>
      </c>
      <c r="V2" s="4" t="s">
        <v>82</v>
      </c>
      <c r="W2" s="4"/>
      <c r="X2" s="3" t="s">
        <v>84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  <c r="AE2" s="3" t="s">
        <v>91</v>
      </c>
      <c r="AF2" s="3" t="s">
        <v>92</v>
      </c>
      <c r="AG2" s="3" t="s">
        <v>93</v>
      </c>
      <c r="AH2" s="3" t="s">
        <v>94</v>
      </c>
      <c r="AI2" s="3" t="s">
        <v>95</v>
      </c>
      <c r="AJ2" s="3" t="s">
        <v>96</v>
      </c>
      <c r="AK2" s="3" t="s">
        <v>97</v>
      </c>
      <c r="AL2" s="3" t="s">
        <v>98</v>
      </c>
      <c r="AM2" s="3" t="s">
        <v>99</v>
      </c>
      <c r="AN2" s="3" t="s">
        <v>100</v>
      </c>
      <c r="AO2" s="3" t="s">
        <v>101</v>
      </c>
      <c r="AP2" s="3" t="s">
        <v>102</v>
      </c>
      <c r="AQ2" s="3" t="s">
        <v>103</v>
      </c>
      <c r="AR2" s="3" t="s">
        <v>104</v>
      </c>
      <c r="AS2" s="3" t="s">
        <v>105</v>
      </c>
      <c r="AT2" s="3" t="s">
        <v>106</v>
      </c>
      <c r="AU2" s="3" t="s">
        <v>107</v>
      </c>
      <c r="AV2" s="3" t="s">
        <v>108</v>
      </c>
      <c r="AW2" s="3"/>
      <c r="AX2" s="5" t="s">
        <v>110</v>
      </c>
      <c r="AY2" s="5" t="s">
        <v>111</v>
      </c>
      <c r="AZ2" s="5" t="s">
        <v>112</v>
      </c>
      <c r="BA2" s="5" t="s">
        <v>113</v>
      </c>
      <c r="BB2" s="5" t="s">
        <v>114</v>
      </c>
      <c r="BC2" s="5" t="s">
        <v>115</v>
      </c>
      <c r="BD2" s="5" t="s">
        <v>116</v>
      </c>
      <c r="BE2" s="5" t="s">
        <v>117</v>
      </c>
      <c r="BF2" s="5" t="s">
        <v>118</v>
      </c>
      <c r="BG2" s="5" t="s">
        <v>119</v>
      </c>
      <c r="BH2" s="5" t="s">
        <v>120</v>
      </c>
      <c r="BI2" s="5" t="s">
        <v>121</v>
      </c>
      <c r="BJ2" s="6"/>
    </row>
    <row r="3" spans="1:62" ht="30" x14ac:dyDescent="0.25">
      <c r="A3">
        <v>1</v>
      </c>
      <c r="B3" s="30">
        <v>2</v>
      </c>
      <c r="C3" s="1" t="s">
        <v>129</v>
      </c>
      <c r="D3" s="1" t="s">
        <v>124</v>
      </c>
      <c r="E3" s="1" t="s">
        <v>125</v>
      </c>
      <c r="F3" s="1" t="s">
        <v>126</v>
      </c>
      <c r="G3" s="1" t="s">
        <v>127</v>
      </c>
      <c r="H3" s="1" t="s">
        <v>128</v>
      </c>
      <c r="I3" s="34">
        <v>3</v>
      </c>
      <c r="J3" s="34">
        <v>3</v>
      </c>
      <c r="K3" s="34">
        <v>4</v>
      </c>
      <c r="L3" s="34">
        <v>1</v>
      </c>
      <c r="M3" s="34">
        <v>2</v>
      </c>
      <c r="N3" s="34">
        <v>1</v>
      </c>
      <c r="O3" s="34">
        <v>1</v>
      </c>
      <c r="P3" s="34">
        <v>4</v>
      </c>
      <c r="Q3" s="34">
        <v>2</v>
      </c>
      <c r="R3" s="34">
        <v>1</v>
      </c>
      <c r="S3" s="34">
        <v>1</v>
      </c>
      <c r="T3" s="34">
        <v>4</v>
      </c>
      <c r="U3" s="34">
        <v>2</v>
      </c>
      <c r="V3" s="34">
        <v>3</v>
      </c>
      <c r="W3" s="35">
        <f t="shared" ref="W3:W10" si="0">SUM(I3:V3)</f>
        <v>32</v>
      </c>
      <c r="X3" s="30">
        <v>3</v>
      </c>
      <c r="Y3" s="30">
        <v>4</v>
      </c>
      <c r="Z3" s="30">
        <v>3</v>
      </c>
      <c r="AA3" s="30">
        <v>4</v>
      </c>
      <c r="AB3" s="30">
        <v>4</v>
      </c>
      <c r="AC3" s="30">
        <v>3</v>
      </c>
      <c r="AD3" s="30">
        <v>3</v>
      </c>
      <c r="AE3" s="30">
        <v>3</v>
      </c>
      <c r="AF3" s="30">
        <v>3</v>
      </c>
      <c r="AG3" s="30">
        <v>4</v>
      </c>
      <c r="AH3" s="30">
        <v>3</v>
      </c>
      <c r="AI3" s="30">
        <v>4</v>
      </c>
      <c r="AJ3" s="30">
        <v>3</v>
      </c>
      <c r="AK3" s="30">
        <v>2</v>
      </c>
      <c r="AL3" s="30">
        <v>3</v>
      </c>
      <c r="AM3" s="30">
        <v>3</v>
      </c>
      <c r="AN3" s="30">
        <v>4</v>
      </c>
      <c r="AO3" s="30">
        <v>2</v>
      </c>
      <c r="AP3" s="30">
        <v>3</v>
      </c>
      <c r="AQ3" s="30">
        <v>2</v>
      </c>
      <c r="AR3" s="30">
        <v>4</v>
      </c>
      <c r="AS3" s="30">
        <v>2</v>
      </c>
      <c r="AT3" s="30">
        <v>3</v>
      </c>
      <c r="AU3" s="30">
        <v>3</v>
      </c>
      <c r="AV3" s="30">
        <v>2</v>
      </c>
      <c r="AW3" s="36">
        <f>AW4</f>
        <v>72</v>
      </c>
      <c r="AX3" s="30">
        <v>5</v>
      </c>
      <c r="AY3" s="30">
        <v>3</v>
      </c>
      <c r="AZ3" s="30">
        <v>4</v>
      </c>
      <c r="BA3" s="30">
        <v>2</v>
      </c>
      <c r="BB3" s="30">
        <v>3</v>
      </c>
      <c r="BC3" s="30">
        <v>4</v>
      </c>
      <c r="BD3" s="30">
        <v>3</v>
      </c>
      <c r="BE3" s="30">
        <v>4</v>
      </c>
      <c r="BF3" s="30">
        <v>4</v>
      </c>
      <c r="BG3" s="30">
        <v>5</v>
      </c>
      <c r="BH3" s="30">
        <v>4</v>
      </c>
      <c r="BI3" s="30">
        <v>4</v>
      </c>
      <c r="BJ3" s="37">
        <f t="shared" ref="BJ3:BJ10" si="1">SUM(AX3:BI3)</f>
        <v>45</v>
      </c>
    </row>
    <row r="4" spans="1:62" ht="54.95" customHeight="1" x14ac:dyDescent="0.25">
      <c r="A4">
        <v>2</v>
      </c>
      <c r="B4" s="1" t="s">
        <v>122</v>
      </c>
      <c r="C4" s="1" t="s">
        <v>148</v>
      </c>
      <c r="D4" s="1" t="s">
        <v>124</v>
      </c>
      <c r="E4" s="1" t="s">
        <v>125</v>
      </c>
      <c r="F4" s="1" t="s">
        <v>126</v>
      </c>
      <c r="G4" s="1" t="s">
        <v>130</v>
      </c>
      <c r="H4" s="1" t="s">
        <v>149</v>
      </c>
      <c r="I4" s="34">
        <v>1</v>
      </c>
      <c r="J4" s="34">
        <v>2</v>
      </c>
      <c r="K4" s="34">
        <v>3</v>
      </c>
      <c r="L4" s="34">
        <v>0</v>
      </c>
      <c r="M4" s="34">
        <v>1</v>
      </c>
      <c r="N4" s="34">
        <v>0</v>
      </c>
      <c r="O4" s="30">
        <v>2</v>
      </c>
      <c r="P4" s="30">
        <v>1</v>
      </c>
      <c r="Q4" s="30">
        <v>1</v>
      </c>
      <c r="R4" s="30">
        <v>1</v>
      </c>
      <c r="S4" s="30">
        <v>1</v>
      </c>
      <c r="T4" s="30">
        <v>4</v>
      </c>
      <c r="U4" s="30">
        <v>3</v>
      </c>
      <c r="V4" s="30">
        <v>2</v>
      </c>
      <c r="W4" s="35">
        <f t="shared" si="0"/>
        <v>22</v>
      </c>
      <c r="X4" s="30">
        <v>0</v>
      </c>
      <c r="Y4" s="30">
        <v>4</v>
      </c>
      <c r="Z4" s="30">
        <v>2</v>
      </c>
      <c r="AA4" s="30">
        <v>3</v>
      </c>
      <c r="AB4" s="30">
        <v>3</v>
      </c>
      <c r="AC4" s="30">
        <v>4</v>
      </c>
      <c r="AD4" s="30">
        <v>4</v>
      </c>
      <c r="AE4" s="30">
        <v>4</v>
      </c>
      <c r="AF4" s="30">
        <v>4</v>
      </c>
      <c r="AG4" s="30">
        <v>4</v>
      </c>
      <c r="AH4" s="30">
        <v>3</v>
      </c>
      <c r="AI4" s="30">
        <v>4</v>
      </c>
      <c r="AJ4" s="30">
        <v>3</v>
      </c>
      <c r="AK4" s="30">
        <v>4</v>
      </c>
      <c r="AL4" s="30">
        <v>4</v>
      </c>
      <c r="AM4" s="30">
        <v>3</v>
      </c>
      <c r="AN4" s="30">
        <v>4</v>
      </c>
      <c r="AO4" s="30">
        <v>3</v>
      </c>
      <c r="AP4" s="30">
        <v>3</v>
      </c>
      <c r="AQ4" s="30">
        <v>2</v>
      </c>
      <c r="AR4" s="30">
        <v>3</v>
      </c>
      <c r="AS4" s="30">
        <v>3</v>
      </c>
      <c r="AT4" s="30">
        <v>4</v>
      </c>
      <c r="AU4" s="30">
        <v>4</v>
      </c>
      <c r="AV4" s="30">
        <v>4</v>
      </c>
      <c r="AW4" s="36">
        <f>SUM(X5:AV5)</f>
        <v>72</v>
      </c>
      <c r="AX4" s="30">
        <v>4</v>
      </c>
      <c r="AY4" s="30">
        <v>3</v>
      </c>
      <c r="AZ4" s="30">
        <v>3</v>
      </c>
      <c r="BA4" s="30">
        <v>4</v>
      </c>
      <c r="BB4" s="30">
        <v>3</v>
      </c>
      <c r="BC4" s="30">
        <v>5</v>
      </c>
      <c r="BD4" s="30">
        <v>4</v>
      </c>
      <c r="BE4" s="30">
        <v>4</v>
      </c>
      <c r="BF4" s="30">
        <v>5</v>
      </c>
      <c r="BG4" s="30">
        <v>5</v>
      </c>
      <c r="BH4" s="30">
        <v>3</v>
      </c>
      <c r="BI4" s="30">
        <v>5</v>
      </c>
      <c r="BJ4" s="37">
        <f t="shared" si="1"/>
        <v>48</v>
      </c>
    </row>
    <row r="5" spans="1:62" ht="30" x14ac:dyDescent="0.25">
      <c r="A5">
        <v>3</v>
      </c>
      <c r="B5" s="1" t="s">
        <v>132</v>
      </c>
      <c r="C5" s="1" t="s">
        <v>129</v>
      </c>
      <c r="D5" s="1" t="s">
        <v>124</v>
      </c>
      <c r="E5" s="1" t="s">
        <v>133</v>
      </c>
      <c r="F5" s="1" t="s">
        <v>126</v>
      </c>
      <c r="G5" s="1" t="s">
        <v>130</v>
      </c>
      <c r="H5" s="1" t="s">
        <v>128</v>
      </c>
      <c r="I5" s="34">
        <v>2</v>
      </c>
      <c r="J5" s="30">
        <v>1</v>
      </c>
      <c r="K5" s="30">
        <v>3</v>
      </c>
      <c r="L5" s="30">
        <v>1</v>
      </c>
      <c r="M5" s="30">
        <v>1</v>
      </c>
      <c r="N5" s="30">
        <v>1</v>
      </c>
      <c r="O5" s="30">
        <v>2</v>
      </c>
      <c r="P5" s="30">
        <v>1</v>
      </c>
      <c r="Q5" s="30">
        <v>1</v>
      </c>
      <c r="R5" s="30">
        <v>3</v>
      </c>
      <c r="S5" s="30">
        <v>0</v>
      </c>
      <c r="T5" s="30">
        <v>3</v>
      </c>
      <c r="U5" s="30">
        <v>2</v>
      </c>
      <c r="V5" s="30">
        <v>2</v>
      </c>
      <c r="W5" s="35">
        <f t="shared" si="0"/>
        <v>23</v>
      </c>
      <c r="X5" s="30">
        <v>3</v>
      </c>
      <c r="Y5" s="30">
        <v>4</v>
      </c>
      <c r="Z5" s="30">
        <v>1</v>
      </c>
      <c r="AA5" s="30">
        <v>3</v>
      </c>
      <c r="AB5" s="30">
        <v>4</v>
      </c>
      <c r="AC5" s="30">
        <v>3</v>
      </c>
      <c r="AD5" s="30">
        <v>3</v>
      </c>
      <c r="AE5" s="30">
        <v>3</v>
      </c>
      <c r="AF5" s="30">
        <v>3</v>
      </c>
      <c r="AG5" s="34">
        <v>4</v>
      </c>
      <c r="AH5" s="30">
        <v>4</v>
      </c>
      <c r="AI5" s="30">
        <v>3</v>
      </c>
      <c r="AJ5" s="30">
        <v>3</v>
      </c>
      <c r="AK5" s="30">
        <v>2</v>
      </c>
      <c r="AL5" s="30">
        <v>2</v>
      </c>
      <c r="AM5" s="30">
        <v>2</v>
      </c>
      <c r="AN5" s="30">
        <v>3</v>
      </c>
      <c r="AO5" s="30">
        <v>2</v>
      </c>
      <c r="AP5" s="30">
        <v>3</v>
      </c>
      <c r="AQ5" s="30">
        <v>2</v>
      </c>
      <c r="AR5" s="30">
        <v>4</v>
      </c>
      <c r="AS5" s="30">
        <v>3</v>
      </c>
      <c r="AT5" s="30">
        <v>1</v>
      </c>
      <c r="AU5" s="30">
        <v>3</v>
      </c>
      <c r="AV5" s="30">
        <v>4</v>
      </c>
      <c r="AW5" s="36">
        <f>SUM(X6:AV6)</f>
        <v>78</v>
      </c>
      <c r="AX5" s="30">
        <v>3</v>
      </c>
      <c r="AY5" s="30">
        <v>3</v>
      </c>
      <c r="AZ5" s="30">
        <v>3</v>
      </c>
      <c r="BA5" s="30">
        <v>4</v>
      </c>
      <c r="BB5" s="30">
        <v>3</v>
      </c>
      <c r="BC5" s="30">
        <v>5</v>
      </c>
      <c r="BD5" s="30">
        <v>3</v>
      </c>
      <c r="BE5" s="30">
        <v>2</v>
      </c>
      <c r="BF5" s="30">
        <v>3</v>
      </c>
      <c r="BG5" s="30">
        <v>4</v>
      </c>
      <c r="BH5" s="30">
        <v>2</v>
      </c>
      <c r="BI5" s="30">
        <v>5</v>
      </c>
      <c r="BJ5" s="37">
        <f t="shared" si="1"/>
        <v>40</v>
      </c>
    </row>
    <row r="6" spans="1:62" ht="61.5" customHeight="1" x14ac:dyDescent="0.25">
      <c r="A6">
        <v>4</v>
      </c>
      <c r="B6" s="1" t="s">
        <v>132</v>
      </c>
      <c r="C6" s="1" t="s">
        <v>148</v>
      </c>
      <c r="D6" s="1" t="s">
        <v>135</v>
      </c>
      <c r="E6" s="1" t="s">
        <v>125</v>
      </c>
      <c r="F6" s="1" t="s">
        <v>126</v>
      </c>
      <c r="G6" s="1" t="s">
        <v>130</v>
      </c>
      <c r="H6" s="1" t="s">
        <v>134</v>
      </c>
      <c r="I6" s="30">
        <v>1</v>
      </c>
      <c r="J6" s="30">
        <v>0</v>
      </c>
      <c r="K6" s="30">
        <v>3</v>
      </c>
      <c r="L6" s="30">
        <v>1</v>
      </c>
      <c r="M6" s="30">
        <v>0</v>
      </c>
      <c r="N6" s="30">
        <v>1</v>
      </c>
      <c r="O6" s="30">
        <v>1</v>
      </c>
      <c r="P6" s="30">
        <v>0</v>
      </c>
      <c r="Q6" s="30">
        <v>1</v>
      </c>
      <c r="R6" s="30">
        <v>0</v>
      </c>
      <c r="S6" s="30">
        <v>1</v>
      </c>
      <c r="T6" s="30">
        <v>4</v>
      </c>
      <c r="U6" s="30">
        <v>1</v>
      </c>
      <c r="V6" s="30">
        <v>0</v>
      </c>
      <c r="W6" s="35">
        <f t="shared" si="0"/>
        <v>14</v>
      </c>
      <c r="X6" s="30">
        <v>4</v>
      </c>
      <c r="Y6" s="30">
        <v>4</v>
      </c>
      <c r="Z6" s="30">
        <v>2</v>
      </c>
      <c r="AA6" s="30">
        <v>4</v>
      </c>
      <c r="AB6" s="30">
        <v>3</v>
      </c>
      <c r="AC6" s="30">
        <v>3</v>
      </c>
      <c r="AD6" s="30">
        <v>4</v>
      </c>
      <c r="AE6" s="30">
        <v>3</v>
      </c>
      <c r="AF6" s="30">
        <v>2</v>
      </c>
      <c r="AG6" s="30">
        <v>3</v>
      </c>
      <c r="AH6" s="30">
        <v>3</v>
      </c>
      <c r="AI6" s="30">
        <v>3</v>
      </c>
      <c r="AJ6" s="30">
        <v>2</v>
      </c>
      <c r="AK6" s="30">
        <v>4</v>
      </c>
      <c r="AL6" s="30">
        <v>4</v>
      </c>
      <c r="AM6" s="30">
        <v>3</v>
      </c>
      <c r="AN6" s="30">
        <v>3</v>
      </c>
      <c r="AO6" s="30">
        <v>3</v>
      </c>
      <c r="AP6" s="30">
        <v>3</v>
      </c>
      <c r="AQ6" s="30">
        <v>3</v>
      </c>
      <c r="AR6" s="30">
        <v>2</v>
      </c>
      <c r="AS6" s="30">
        <v>4</v>
      </c>
      <c r="AT6" s="30">
        <v>3</v>
      </c>
      <c r="AU6" s="30">
        <v>4</v>
      </c>
      <c r="AV6" s="30">
        <v>2</v>
      </c>
      <c r="AW6" s="36">
        <f>SUM(X7:AV7)</f>
        <v>83</v>
      </c>
      <c r="AX6" s="30">
        <v>4</v>
      </c>
      <c r="AY6" s="30">
        <v>4</v>
      </c>
      <c r="AZ6" s="30">
        <v>4</v>
      </c>
      <c r="BA6" s="30">
        <v>4</v>
      </c>
      <c r="BB6" s="30">
        <v>1</v>
      </c>
      <c r="BC6" s="30">
        <v>5</v>
      </c>
      <c r="BD6" s="30">
        <v>4</v>
      </c>
      <c r="BE6" s="30">
        <v>3</v>
      </c>
      <c r="BF6" s="30">
        <v>4</v>
      </c>
      <c r="BG6" s="30">
        <v>5</v>
      </c>
      <c r="BH6" s="30">
        <v>3</v>
      </c>
      <c r="BI6" s="30">
        <v>5</v>
      </c>
      <c r="BJ6" s="37">
        <f t="shared" si="1"/>
        <v>46</v>
      </c>
    </row>
    <row r="7" spans="1:62" ht="48" customHeight="1" x14ac:dyDescent="0.25">
      <c r="A7">
        <v>5</v>
      </c>
      <c r="B7" s="1" t="s">
        <v>122</v>
      </c>
      <c r="C7" s="1" t="s">
        <v>136</v>
      </c>
      <c r="D7" s="1" t="s">
        <v>124</v>
      </c>
      <c r="E7" s="1" t="s">
        <v>125</v>
      </c>
      <c r="F7" s="1" t="s">
        <v>126</v>
      </c>
      <c r="G7" s="1" t="s">
        <v>127</v>
      </c>
      <c r="H7" s="1" t="s">
        <v>137</v>
      </c>
      <c r="I7" s="30">
        <v>3</v>
      </c>
      <c r="J7" s="30">
        <v>2</v>
      </c>
      <c r="K7" s="30">
        <v>4</v>
      </c>
      <c r="L7" s="30">
        <v>2</v>
      </c>
      <c r="M7" s="30">
        <v>2</v>
      </c>
      <c r="N7" s="30">
        <v>2</v>
      </c>
      <c r="O7" s="30">
        <v>2</v>
      </c>
      <c r="P7" s="30">
        <v>2</v>
      </c>
      <c r="Q7" s="30">
        <v>2</v>
      </c>
      <c r="R7" s="30">
        <v>3</v>
      </c>
      <c r="S7" s="30">
        <v>2</v>
      </c>
      <c r="T7" s="30">
        <v>3</v>
      </c>
      <c r="U7" s="30">
        <v>3</v>
      </c>
      <c r="V7" s="30">
        <v>3</v>
      </c>
      <c r="W7" s="35">
        <f t="shared" si="0"/>
        <v>35</v>
      </c>
      <c r="X7" s="30">
        <v>4</v>
      </c>
      <c r="Y7" s="30">
        <v>2</v>
      </c>
      <c r="Z7" s="30">
        <v>3</v>
      </c>
      <c r="AA7" s="30">
        <v>4</v>
      </c>
      <c r="AB7" s="30">
        <v>4</v>
      </c>
      <c r="AC7" s="30">
        <v>4</v>
      </c>
      <c r="AD7" s="30">
        <v>4</v>
      </c>
      <c r="AE7" s="30">
        <v>4</v>
      </c>
      <c r="AF7" s="30">
        <v>4</v>
      </c>
      <c r="AG7" s="30">
        <v>3</v>
      </c>
      <c r="AH7" s="30">
        <v>4</v>
      </c>
      <c r="AI7" s="30">
        <v>4</v>
      </c>
      <c r="AJ7" s="30">
        <v>3</v>
      </c>
      <c r="AK7" s="30">
        <v>1</v>
      </c>
      <c r="AL7" s="30">
        <v>3</v>
      </c>
      <c r="AM7" s="30">
        <v>4</v>
      </c>
      <c r="AN7" s="30">
        <v>4</v>
      </c>
      <c r="AO7" s="30">
        <v>4</v>
      </c>
      <c r="AP7" s="30">
        <v>4</v>
      </c>
      <c r="AQ7" s="30">
        <v>3</v>
      </c>
      <c r="AR7" s="30">
        <v>3</v>
      </c>
      <c r="AS7" s="30">
        <v>3</v>
      </c>
      <c r="AT7" s="30">
        <v>3</v>
      </c>
      <c r="AU7" s="30">
        <v>3</v>
      </c>
      <c r="AV7" s="30">
        <v>1</v>
      </c>
      <c r="AW7" s="36">
        <f>SUM(X7:AV7)</f>
        <v>83</v>
      </c>
      <c r="AX7" s="30">
        <v>5</v>
      </c>
      <c r="AY7" s="30">
        <v>3</v>
      </c>
      <c r="AZ7" s="30">
        <v>4</v>
      </c>
      <c r="BA7" s="30">
        <v>4</v>
      </c>
      <c r="BB7" s="30">
        <v>4</v>
      </c>
      <c r="BC7" s="30">
        <v>4</v>
      </c>
      <c r="BD7" s="30">
        <v>4</v>
      </c>
      <c r="BE7" s="30">
        <v>4</v>
      </c>
      <c r="BF7" s="30">
        <v>4</v>
      </c>
      <c r="BG7" s="30">
        <v>5</v>
      </c>
      <c r="BH7" s="30">
        <v>5</v>
      </c>
      <c r="BI7" s="30">
        <v>3</v>
      </c>
      <c r="BJ7" s="37">
        <f t="shared" si="1"/>
        <v>49</v>
      </c>
    </row>
    <row r="8" spans="1:62" ht="30" x14ac:dyDescent="0.25">
      <c r="A8">
        <v>6</v>
      </c>
      <c r="B8" s="1" t="s">
        <v>122</v>
      </c>
      <c r="C8" s="1" t="s">
        <v>150</v>
      </c>
      <c r="D8" s="1" t="s">
        <v>135</v>
      </c>
      <c r="E8" s="1" t="s">
        <v>125</v>
      </c>
      <c r="F8" s="1" t="s">
        <v>126</v>
      </c>
      <c r="G8" s="1" t="s">
        <v>130</v>
      </c>
      <c r="H8" s="1" t="s">
        <v>128</v>
      </c>
      <c r="I8" s="30">
        <v>2</v>
      </c>
      <c r="J8" s="30">
        <v>2</v>
      </c>
      <c r="K8" s="30">
        <v>2</v>
      </c>
      <c r="L8" s="30">
        <v>1</v>
      </c>
      <c r="M8" s="30">
        <v>1</v>
      </c>
      <c r="N8" s="30">
        <v>0</v>
      </c>
      <c r="O8" s="30">
        <v>1</v>
      </c>
      <c r="P8" s="30">
        <v>2</v>
      </c>
      <c r="Q8" s="30">
        <v>1</v>
      </c>
      <c r="R8" s="30">
        <v>1</v>
      </c>
      <c r="S8" s="30">
        <v>2</v>
      </c>
      <c r="T8" s="30">
        <v>4</v>
      </c>
      <c r="U8" s="30">
        <v>0</v>
      </c>
      <c r="V8" s="30">
        <v>1</v>
      </c>
      <c r="W8" s="35">
        <f t="shared" si="0"/>
        <v>20</v>
      </c>
      <c r="X8" s="30">
        <v>4</v>
      </c>
      <c r="Y8" s="30">
        <v>4</v>
      </c>
      <c r="Z8" s="30">
        <v>0</v>
      </c>
      <c r="AA8" s="30">
        <v>4</v>
      </c>
      <c r="AB8" s="30">
        <v>4</v>
      </c>
      <c r="AC8" s="30">
        <v>4</v>
      </c>
      <c r="AD8" s="30">
        <v>3</v>
      </c>
      <c r="AE8" s="30">
        <v>4</v>
      </c>
      <c r="AF8" s="30">
        <v>2</v>
      </c>
      <c r="AG8" s="30">
        <v>3</v>
      </c>
      <c r="AH8" s="30">
        <v>4</v>
      </c>
      <c r="AI8" s="30">
        <v>4</v>
      </c>
      <c r="AJ8" s="30">
        <v>4</v>
      </c>
      <c r="AK8" s="30">
        <v>3</v>
      </c>
      <c r="AL8" s="30">
        <v>3</v>
      </c>
      <c r="AM8" s="30">
        <v>3</v>
      </c>
      <c r="AN8" s="30">
        <v>3</v>
      </c>
      <c r="AO8" s="30">
        <v>2</v>
      </c>
      <c r="AP8" s="30">
        <v>3</v>
      </c>
      <c r="AQ8" s="30">
        <v>2</v>
      </c>
      <c r="AR8" s="30">
        <v>3</v>
      </c>
      <c r="AS8" s="30">
        <v>3</v>
      </c>
      <c r="AT8" s="30">
        <v>3</v>
      </c>
      <c r="AU8" s="30">
        <v>4</v>
      </c>
      <c r="AV8" s="30">
        <v>3</v>
      </c>
      <c r="AW8" s="36">
        <f>SUM(X8:AV8)</f>
        <v>79</v>
      </c>
      <c r="AX8" s="30">
        <v>4</v>
      </c>
      <c r="AY8" s="30">
        <v>1</v>
      </c>
      <c r="AZ8" s="30">
        <v>3</v>
      </c>
      <c r="BA8" s="30">
        <v>4</v>
      </c>
      <c r="BB8" s="30">
        <v>3</v>
      </c>
      <c r="BC8" s="30">
        <v>3</v>
      </c>
      <c r="BD8" s="30">
        <v>4</v>
      </c>
      <c r="BE8" s="30">
        <v>2</v>
      </c>
      <c r="BF8" s="30">
        <v>3</v>
      </c>
      <c r="BG8" s="30">
        <v>4</v>
      </c>
      <c r="BH8" s="30">
        <v>3</v>
      </c>
      <c r="BI8" s="30">
        <v>3</v>
      </c>
      <c r="BJ8" s="37">
        <f t="shared" si="1"/>
        <v>37</v>
      </c>
    </row>
    <row r="9" spans="1:62" ht="30" x14ac:dyDescent="0.25">
      <c r="A9">
        <v>7</v>
      </c>
      <c r="B9" s="1" t="s">
        <v>122</v>
      </c>
      <c r="C9" s="1" t="s">
        <v>151</v>
      </c>
      <c r="D9" s="1" t="s">
        <v>124</v>
      </c>
      <c r="E9" s="1" t="s">
        <v>125</v>
      </c>
      <c r="F9" s="1" t="s">
        <v>126</v>
      </c>
      <c r="G9" s="1" t="s">
        <v>130</v>
      </c>
      <c r="H9" s="1" t="s">
        <v>128</v>
      </c>
      <c r="I9" s="30">
        <v>3</v>
      </c>
      <c r="J9" s="30">
        <v>3</v>
      </c>
      <c r="K9" s="30">
        <v>4</v>
      </c>
      <c r="L9" s="30">
        <v>2</v>
      </c>
      <c r="M9" s="30">
        <v>2</v>
      </c>
      <c r="N9" s="30">
        <v>2</v>
      </c>
      <c r="O9" s="30">
        <v>3</v>
      </c>
      <c r="P9" s="30">
        <v>3</v>
      </c>
      <c r="Q9" s="30">
        <v>2</v>
      </c>
      <c r="R9" s="30">
        <v>3</v>
      </c>
      <c r="S9" s="30">
        <v>2</v>
      </c>
      <c r="T9" s="30">
        <v>4</v>
      </c>
      <c r="U9" s="30">
        <v>1</v>
      </c>
      <c r="V9" s="30">
        <v>3</v>
      </c>
      <c r="W9" s="35">
        <f t="shared" si="0"/>
        <v>37</v>
      </c>
      <c r="X9" s="30">
        <v>3</v>
      </c>
      <c r="Y9" s="30">
        <v>4</v>
      </c>
      <c r="Z9" s="30">
        <v>2</v>
      </c>
      <c r="AA9" s="30">
        <v>4</v>
      </c>
      <c r="AB9" s="30">
        <v>2</v>
      </c>
      <c r="AC9" s="30">
        <v>3</v>
      </c>
      <c r="AD9" s="30">
        <v>3</v>
      </c>
      <c r="AE9" s="30">
        <v>4</v>
      </c>
      <c r="AF9" s="30">
        <v>3</v>
      </c>
      <c r="AG9" s="30">
        <v>2</v>
      </c>
      <c r="AH9" s="30">
        <v>2</v>
      </c>
      <c r="AI9" s="30">
        <v>2</v>
      </c>
      <c r="AJ9" s="30">
        <v>3</v>
      </c>
      <c r="AK9" s="30">
        <v>1</v>
      </c>
      <c r="AL9" s="30">
        <v>2</v>
      </c>
      <c r="AM9" s="30">
        <v>2</v>
      </c>
      <c r="AN9" s="30">
        <v>4</v>
      </c>
      <c r="AO9" s="30">
        <v>2</v>
      </c>
      <c r="AP9" s="30">
        <v>4</v>
      </c>
      <c r="AQ9" s="30">
        <v>2</v>
      </c>
      <c r="AR9" s="30">
        <v>3</v>
      </c>
      <c r="AS9" s="30">
        <v>3</v>
      </c>
      <c r="AT9" s="30">
        <v>2</v>
      </c>
      <c r="AU9" s="30">
        <v>3</v>
      </c>
      <c r="AV9" s="30">
        <v>3</v>
      </c>
      <c r="AW9" s="36">
        <f>SUM(X9:AV9)</f>
        <v>68</v>
      </c>
      <c r="AX9" s="30">
        <v>5</v>
      </c>
      <c r="AY9" s="30">
        <v>1</v>
      </c>
      <c r="AZ9" s="30">
        <v>1</v>
      </c>
      <c r="BA9" s="30">
        <v>3</v>
      </c>
      <c r="BB9" s="30">
        <v>1</v>
      </c>
      <c r="BC9" s="30">
        <v>3</v>
      </c>
      <c r="BD9" s="30">
        <v>2</v>
      </c>
      <c r="BE9" s="30">
        <v>1</v>
      </c>
      <c r="BF9" s="30">
        <v>2</v>
      </c>
      <c r="BG9" s="30">
        <v>5</v>
      </c>
      <c r="BH9" s="30">
        <v>1</v>
      </c>
      <c r="BI9" s="30">
        <v>3</v>
      </c>
      <c r="BJ9" s="37">
        <f t="shared" si="1"/>
        <v>28</v>
      </c>
    </row>
    <row r="10" spans="1:62" ht="30" x14ac:dyDescent="0.25">
      <c r="A10">
        <v>8</v>
      </c>
      <c r="B10" s="1" t="s">
        <v>122</v>
      </c>
      <c r="C10" s="1" t="s">
        <v>152</v>
      </c>
      <c r="D10" s="1" t="s">
        <v>124</v>
      </c>
      <c r="E10" s="1" t="s">
        <v>133</v>
      </c>
      <c r="F10" s="1" t="s">
        <v>126</v>
      </c>
      <c r="G10" s="1" t="s">
        <v>141</v>
      </c>
      <c r="H10" s="1" t="s">
        <v>128</v>
      </c>
      <c r="I10" s="30">
        <v>3</v>
      </c>
      <c r="J10" s="30">
        <v>3</v>
      </c>
      <c r="K10" s="30">
        <v>3</v>
      </c>
      <c r="L10" s="30">
        <v>0</v>
      </c>
      <c r="M10" s="30">
        <v>1</v>
      </c>
      <c r="N10" s="30">
        <v>0</v>
      </c>
      <c r="O10" s="30">
        <v>3</v>
      </c>
      <c r="P10" s="30">
        <v>2</v>
      </c>
      <c r="Q10" s="30">
        <v>1</v>
      </c>
      <c r="R10" s="30">
        <v>0</v>
      </c>
      <c r="S10" s="30">
        <v>3</v>
      </c>
      <c r="T10" s="30">
        <v>4</v>
      </c>
      <c r="U10" s="30">
        <v>0</v>
      </c>
      <c r="V10" s="30">
        <v>2</v>
      </c>
      <c r="W10" s="35">
        <f t="shared" si="0"/>
        <v>25</v>
      </c>
      <c r="X10" s="30">
        <v>2</v>
      </c>
      <c r="Y10" s="30">
        <v>4</v>
      </c>
      <c r="Z10" s="30">
        <v>2</v>
      </c>
      <c r="AA10" s="30">
        <v>4</v>
      </c>
      <c r="AB10" s="30">
        <v>4</v>
      </c>
      <c r="AC10" s="30">
        <v>4</v>
      </c>
      <c r="AD10" s="30">
        <v>4</v>
      </c>
      <c r="AE10" s="30">
        <v>4</v>
      </c>
      <c r="AF10" s="30">
        <v>4</v>
      </c>
      <c r="AG10" s="30">
        <v>4</v>
      </c>
      <c r="AH10" s="30">
        <v>4</v>
      </c>
      <c r="AI10" s="30">
        <v>4</v>
      </c>
      <c r="AJ10" s="30">
        <v>4</v>
      </c>
      <c r="AK10" s="30">
        <v>2</v>
      </c>
      <c r="AL10" s="30">
        <v>4</v>
      </c>
      <c r="AM10" s="30">
        <v>4</v>
      </c>
      <c r="AN10" s="30">
        <v>4</v>
      </c>
      <c r="AO10" s="30">
        <v>4</v>
      </c>
      <c r="AP10" s="30">
        <v>4</v>
      </c>
      <c r="AQ10" s="30">
        <v>2</v>
      </c>
      <c r="AR10" s="30">
        <v>4</v>
      </c>
      <c r="AS10" s="30">
        <v>3</v>
      </c>
      <c r="AT10" s="30">
        <v>2</v>
      </c>
      <c r="AU10" s="30">
        <v>4</v>
      </c>
      <c r="AV10" s="30">
        <v>4</v>
      </c>
      <c r="AW10" s="36">
        <f>SUM(X10:AV10)</f>
        <v>89</v>
      </c>
      <c r="AX10" s="30">
        <v>5</v>
      </c>
      <c r="AY10" s="30">
        <v>4</v>
      </c>
      <c r="AZ10" s="30">
        <v>4</v>
      </c>
      <c r="BA10" s="30">
        <v>5</v>
      </c>
      <c r="BB10" s="30">
        <v>5</v>
      </c>
      <c r="BC10" s="30">
        <v>5</v>
      </c>
      <c r="BD10" s="30">
        <v>4</v>
      </c>
      <c r="BE10" s="30">
        <v>4</v>
      </c>
      <c r="BF10" s="30">
        <v>5</v>
      </c>
      <c r="BG10" s="30">
        <v>5</v>
      </c>
      <c r="BH10" s="30">
        <v>4</v>
      </c>
      <c r="BI10" s="30">
        <v>5</v>
      </c>
      <c r="BJ10" s="37">
        <f t="shared" si="1"/>
        <v>55</v>
      </c>
    </row>
  </sheetData>
  <autoFilter ref="B2:BI11" xr:uid="{00000000-0009-0000-0000-000000000000}"/>
  <pageMargins left="0.7" right="0.7" top="0.75" bottom="0.75" header="0.3" footer="0.3"/>
  <pageSetup orientation="portrait" horizontalDpi="4294967293" verticalDpi="0" r:id="rId1"/>
  <ignoredErrors>
    <ignoredError sqref="B1 C1 D1 E1:E10 F1:F10 G1:G10 H1:H5 I1:I2 J1:J2 K1:K2 L1:L2 M1:M2 N1:N2 O1:O2 P1:P2 Q1:Q2 R1:R2 S1:S2 T1:T2 U1:U2 V1:V2 X1:X2 Y1:Y2 Z1:Z2 AA1:AA2 AB1:AB2 AC1:AC2 AD1:AD2 AE1:AE2 AF1:AF2 AG1:AG2 AH1:AH2 AI1:AI2 AJ1:AJ2 AK1:AK2 AL1:AL2 AM1:AM2 AN1:AN2 AO1:AO2 AP1:AP2 AQ1:AQ2 AR1:AR2 AS1:AS2 AT1:AT2 AU1:AU2 AV1:AV2 AX1:AX2 AY1:AY2 AZ1:AZ2 BA1:BA2 BB1:BB2 BC1:BC2 BD1:BD2 BE1:BE2 BF1:BF2 BG1:BG2 BH1:BH2 BI1:BI2 C3:C10 D4:D10 H7:H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6112-C10D-4354-86E2-2C7EDB1D4205}">
  <dimension ref="A1:BJ10"/>
  <sheetViews>
    <sheetView topLeftCell="A6" zoomScale="73" workbookViewId="0">
      <selection activeCell="H5" sqref="H5"/>
    </sheetView>
  </sheetViews>
  <sheetFormatPr defaultRowHeight="15" x14ac:dyDescent="0.25"/>
  <sheetData>
    <row r="1" spans="1:6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7" t="s">
        <v>153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27" t="s">
        <v>46</v>
      </c>
      <c r="AV1" s="27" t="s">
        <v>47</v>
      </c>
      <c r="AW1" s="27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</row>
    <row r="2" spans="1:62" x14ac:dyDescent="0.25">
      <c r="A2" s="2"/>
      <c r="B2" s="2" t="s">
        <v>154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6" t="s">
        <v>69</v>
      </c>
      <c r="J2" s="26" t="s">
        <v>70</v>
      </c>
      <c r="K2" s="26" t="s">
        <v>71</v>
      </c>
      <c r="L2" s="26" t="s">
        <v>72</v>
      </c>
      <c r="M2" s="26" t="s">
        <v>73</v>
      </c>
      <c r="N2" s="26" t="s">
        <v>74</v>
      </c>
      <c r="O2" s="26" t="s">
        <v>75</v>
      </c>
      <c r="P2" s="26" t="s">
        <v>76</v>
      </c>
      <c r="Q2" s="26" t="s">
        <v>77</v>
      </c>
      <c r="R2" s="26" t="s">
        <v>78</v>
      </c>
      <c r="S2" s="26" t="s">
        <v>79</v>
      </c>
      <c r="T2" s="26" t="s">
        <v>80</v>
      </c>
      <c r="U2" s="26" t="s">
        <v>81</v>
      </c>
      <c r="V2" s="26" t="s">
        <v>82</v>
      </c>
      <c r="W2" s="26" t="s">
        <v>155</v>
      </c>
      <c r="X2" s="27" t="s">
        <v>84</v>
      </c>
      <c r="Y2" s="27" t="s">
        <v>85</v>
      </c>
      <c r="Z2" s="27" t="s">
        <v>86</v>
      </c>
      <c r="AA2" s="27" t="s">
        <v>87</v>
      </c>
      <c r="AB2" s="27" t="s">
        <v>88</v>
      </c>
      <c r="AC2" s="27" t="s">
        <v>89</v>
      </c>
      <c r="AD2" s="27" t="s">
        <v>90</v>
      </c>
      <c r="AE2" s="27" t="s">
        <v>91</v>
      </c>
      <c r="AF2" s="27" t="s">
        <v>92</v>
      </c>
      <c r="AG2" s="27" t="s">
        <v>93</v>
      </c>
      <c r="AH2" s="27" t="s">
        <v>94</v>
      </c>
      <c r="AI2" s="27" t="s">
        <v>95</v>
      </c>
      <c r="AJ2" s="27" t="s">
        <v>96</v>
      </c>
      <c r="AK2" s="27" t="s">
        <v>97</v>
      </c>
      <c r="AL2" s="27" t="s">
        <v>98</v>
      </c>
      <c r="AM2" s="27" t="s">
        <v>99</v>
      </c>
      <c r="AN2" s="27" t="s">
        <v>100</v>
      </c>
      <c r="AO2" s="27" t="s">
        <v>101</v>
      </c>
      <c r="AP2" s="27" t="s">
        <v>102</v>
      </c>
      <c r="AQ2" s="27" t="s">
        <v>103</v>
      </c>
      <c r="AR2" s="27" t="s">
        <v>104</v>
      </c>
      <c r="AS2" s="27" t="s">
        <v>105</v>
      </c>
      <c r="AT2" s="27" t="s">
        <v>106</v>
      </c>
      <c r="AU2" s="27" t="s">
        <v>107</v>
      </c>
      <c r="AV2" s="27" t="s">
        <v>108</v>
      </c>
      <c r="AW2" s="27" t="s">
        <v>156</v>
      </c>
      <c r="AX2" s="6" t="s">
        <v>157</v>
      </c>
      <c r="AY2" s="6" t="s">
        <v>111</v>
      </c>
      <c r="AZ2" s="6" t="s">
        <v>112</v>
      </c>
      <c r="BA2" s="6" t="s">
        <v>113</v>
      </c>
      <c r="BB2" s="6" t="s">
        <v>114</v>
      </c>
      <c r="BC2" s="6" t="s">
        <v>115</v>
      </c>
      <c r="BD2" s="6" t="s">
        <v>116</v>
      </c>
      <c r="BE2" s="6" t="s">
        <v>117</v>
      </c>
      <c r="BF2" s="6" t="s">
        <v>118</v>
      </c>
      <c r="BG2" s="6" t="s">
        <v>119</v>
      </c>
      <c r="BH2" s="6" t="s">
        <v>120</v>
      </c>
      <c r="BI2" s="6" t="s">
        <v>121</v>
      </c>
      <c r="BJ2" s="6" t="s">
        <v>158</v>
      </c>
    </row>
    <row r="3" spans="1:62" ht="30" x14ac:dyDescent="0.25">
      <c r="A3">
        <v>20</v>
      </c>
      <c r="B3" s="1" t="s">
        <v>122</v>
      </c>
      <c r="C3" s="1" t="s">
        <v>148</v>
      </c>
      <c r="D3" s="1" t="s">
        <v>135</v>
      </c>
      <c r="E3" s="1" t="s">
        <v>159</v>
      </c>
      <c r="F3" s="1" t="s">
        <v>126</v>
      </c>
      <c r="G3" s="1" t="s">
        <v>141</v>
      </c>
      <c r="H3" s="1" t="s">
        <v>128</v>
      </c>
      <c r="I3" s="30">
        <v>0</v>
      </c>
      <c r="J3" s="30">
        <v>0</v>
      </c>
      <c r="K3" s="30">
        <v>2</v>
      </c>
      <c r="L3" s="30">
        <v>1</v>
      </c>
      <c r="M3" s="30">
        <v>0</v>
      </c>
      <c r="N3" s="30">
        <v>1</v>
      </c>
      <c r="O3" s="30">
        <v>1</v>
      </c>
      <c r="P3" s="30">
        <v>1</v>
      </c>
      <c r="Q3" s="30">
        <v>1</v>
      </c>
      <c r="R3" s="30">
        <v>2</v>
      </c>
      <c r="S3" s="30">
        <v>1</v>
      </c>
      <c r="T3" s="30">
        <v>3</v>
      </c>
      <c r="U3" s="30">
        <v>2</v>
      </c>
      <c r="V3" s="30">
        <v>1</v>
      </c>
      <c r="W3" s="48">
        <f t="shared" ref="W3:W10" si="0">SUM(I3:V3)</f>
        <v>16</v>
      </c>
      <c r="X3" s="30">
        <v>3</v>
      </c>
      <c r="Y3" s="30">
        <v>4</v>
      </c>
      <c r="Z3" s="30">
        <v>0</v>
      </c>
      <c r="AA3" s="30">
        <v>3</v>
      </c>
      <c r="AB3" s="30">
        <v>3</v>
      </c>
      <c r="AC3" s="30">
        <v>4</v>
      </c>
      <c r="AD3" s="30">
        <v>2</v>
      </c>
      <c r="AE3" s="30">
        <v>3</v>
      </c>
      <c r="AF3" s="30">
        <v>2</v>
      </c>
      <c r="AG3" s="30">
        <v>4</v>
      </c>
      <c r="AH3" s="30">
        <v>4</v>
      </c>
      <c r="AI3" s="30">
        <v>4</v>
      </c>
      <c r="AJ3" s="30">
        <v>4</v>
      </c>
      <c r="AK3" s="30">
        <v>3</v>
      </c>
      <c r="AL3" s="30">
        <v>2</v>
      </c>
      <c r="AM3" s="30">
        <v>4</v>
      </c>
      <c r="AN3" s="30">
        <v>4</v>
      </c>
      <c r="AO3" s="30">
        <v>1</v>
      </c>
      <c r="AP3" s="30">
        <v>3</v>
      </c>
      <c r="AQ3" s="30">
        <v>2</v>
      </c>
      <c r="AR3" s="30">
        <v>4</v>
      </c>
      <c r="AS3" s="30">
        <v>3</v>
      </c>
      <c r="AT3" s="30">
        <v>4</v>
      </c>
      <c r="AU3" s="30">
        <v>3</v>
      </c>
      <c r="AV3" s="30">
        <v>3</v>
      </c>
      <c r="AW3" s="36">
        <f t="shared" ref="AW3:AW10" si="1">SUM(X3:AV3)</f>
        <v>76</v>
      </c>
      <c r="AX3" s="30">
        <v>5</v>
      </c>
      <c r="AY3" s="30">
        <v>3</v>
      </c>
      <c r="AZ3" s="30">
        <v>4</v>
      </c>
      <c r="BA3" s="30">
        <v>5</v>
      </c>
      <c r="BB3" s="30">
        <v>3</v>
      </c>
      <c r="BC3" s="30">
        <v>5</v>
      </c>
      <c r="BD3" s="30">
        <v>4</v>
      </c>
      <c r="BE3" s="30">
        <v>4</v>
      </c>
      <c r="BF3" s="30">
        <v>5</v>
      </c>
      <c r="BG3" s="30">
        <v>5</v>
      </c>
      <c r="BH3" s="30">
        <v>3</v>
      </c>
      <c r="BI3" s="30">
        <v>4</v>
      </c>
      <c r="BJ3" s="37">
        <f t="shared" ref="BJ3:BJ10" si="2">SUM(AX3:BI3)</f>
        <v>50</v>
      </c>
    </row>
    <row r="4" spans="1:62" ht="51.6" customHeight="1" x14ac:dyDescent="0.25">
      <c r="A4">
        <v>21</v>
      </c>
      <c r="B4" s="1" t="s">
        <v>132</v>
      </c>
      <c r="C4" s="1" t="s">
        <v>148</v>
      </c>
      <c r="D4" s="1" t="s">
        <v>135</v>
      </c>
      <c r="E4" s="1" t="s">
        <v>125</v>
      </c>
      <c r="F4" s="1" t="s">
        <v>126</v>
      </c>
      <c r="G4" s="1" t="s">
        <v>141</v>
      </c>
      <c r="H4" s="1" t="s">
        <v>160</v>
      </c>
      <c r="I4" s="30">
        <v>1</v>
      </c>
      <c r="J4" s="30">
        <v>0</v>
      </c>
      <c r="K4" s="30">
        <v>3</v>
      </c>
      <c r="L4" s="30">
        <v>1</v>
      </c>
      <c r="M4" s="30">
        <v>0</v>
      </c>
      <c r="N4" s="30">
        <v>0</v>
      </c>
      <c r="O4" s="30">
        <v>1</v>
      </c>
      <c r="P4" s="30">
        <v>3</v>
      </c>
      <c r="Q4" s="30">
        <v>0</v>
      </c>
      <c r="R4" s="30">
        <v>2</v>
      </c>
      <c r="S4" s="30">
        <v>1</v>
      </c>
      <c r="T4" s="30">
        <v>3</v>
      </c>
      <c r="U4" s="30">
        <v>2</v>
      </c>
      <c r="V4" s="30">
        <v>1</v>
      </c>
      <c r="W4" s="48">
        <f t="shared" si="0"/>
        <v>18</v>
      </c>
      <c r="X4" s="30">
        <v>4</v>
      </c>
      <c r="Y4" s="30">
        <v>4</v>
      </c>
      <c r="Z4" s="30">
        <v>0</v>
      </c>
      <c r="AA4" s="30">
        <v>3</v>
      </c>
      <c r="AB4" s="30">
        <v>4</v>
      </c>
      <c r="AC4" s="30">
        <v>4</v>
      </c>
      <c r="AD4" s="30">
        <v>4</v>
      </c>
      <c r="AE4" s="30">
        <v>4</v>
      </c>
      <c r="AF4" s="30">
        <v>2</v>
      </c>
      <c r="AG4" s="30">
        <v>3</v>
      </c>
      <c r="AH4" s="30">
        <v>4</v>
      </c>
      <c r="AI4" s="30">
        <v>4</v>
      </c>
      <c r="AJ4" s="30">
        <v>3</v>
      </c>
      <c r="AK4" s="30">
        <v>4</v>
      </c>
      <c r="AL4" s="30">
        <v>3</v>
      </c>
      <c r="AM4" s="30">
        <v>3</v>
      </c>
      <c r="AN4" s="30">
        <v>4</v>
      </c>
      <c r="AO4" s="30">
        <v>3</v>
      </c>
      <c r="AP4" s="30">
        <v>4</v>
      </c>
      <c r="AQ4" s="30">
        <v>3</v>
      </c>
      <c r="AR4" s="30">
        <v>4</v>
      </c>
      <c r="AS4" s="30">
        <v>4</v>
      </c>
      <c r="AT4" s="30">
        <v>4</v>
      </c>
      <c r="AU4" s="30">
        <v>4</v>
      </c>
      <c r="AV4" s="30">
        <v>2</v>
      </c>
      <c r="AW4" s="36">
        <f t="shared" si="1"/>
        <v>85</v>
      </c>
      <c r="AX4" s="30">
        <v>5</v>
      </c>
      <c r="AY4" s="30">
        <v>2</v>
      </c>
      <c r="AZ4" s="30">
        <v>3</v>
      </c>
      <c r="BA4" s="30">
        <v>5</v>
      </c>
      <c r="BB4" s="30">
        <v>2</v>
      </c>
      <c r="BC4" s="30">
        <v>4</v>
      </c>
      <c r="BD4" s="30">
        <v>4</v>
      </c>
      <c r="BE4" s="30">
        <v>2</v>
      </c>
      <c r="BF4" s="30">
        <v>3</v>
      </c>
      <c r="BG4" s="30">
        <v>5</v>
      </c>
      <c r="BH4" s="30">
        <v>3</v>
      </c>
      <c r="BI4" s="30">
        <v>5</v>
      </c>
      <c r="BJ4" s="37">
        <f t="shared" si="2"/>
        <v>43</v>
      </c>
    </row>
    <row r="5" spans="1:62" ht="70.5" customHeight="1" x14ac:dyDescent="0.25">
      <c r="A5">
        <v>22</v>
      </c>
      <c r="B5" s="1" t="s">
        <v>128</v>
      </c>
      <c r="C5" s="1" t="s">
        <v>140</v>
      </c>
      <c r="D5" s="1" t="s">
        <v>124</v>
      </c>
      <c r="E5" s="1" t="s">
        <v>125</v>
      </c>
      <c r="F5" s="1" t="s">
        <v>161</v>
      </c>
      <c r="G5" s="1" t="s">
        <v>141</v>
      </c>
      <c r="H5" s="1" t="s">
        <v>162</v>
      </c>
      <c r="I5" s="30">
        <v>3</v>
      </c>
      <c r="J5" s="30">
        <v>1</v>
      </c>
      <c r="K5" s="30">
        <v>4</v>
      </c>
      <c r="L5" s="30">
        <v>1</v>
      </c>
      <c r="M5" s="30">
        <v>2</v>
      </c>
      <c r="N5" s="30">
        <v>1</v>
      </c>
      <c r="O5" s="30">
        <v>1</v>
      </c>
      <c r="P5" s="30">
        <v>2</v>
      </c>
      <c r="Q5" s="30">
        <v>2</v>
      </c>
      <c r="R5" s="30">
        <v>1</v>
      </c>
      <c r="S5" s="30">
        <v>4</v>
      </c>
      <c r="T5" s="30">
        <v>4</v>
      </c>
      <c r="U5" s="30">
        <v>1</v>
      </c>
      <c r="V5" s="30">
        <v>2</v>
      </c>
      <c r="W5" s="48">
        <f t="shared" si="0"/>
        <v>29</v>
      </c>
      <c r="X5" s="30">
        <v>3</v>
      </c>
      <c r="Y5" s="30">
        <v>4</v>
      </c>
      <c r="Z5" s="30">
        <v>0</v>
      </c>
      <c r="AA5" s="30">
        <v>3</v>
      </c>
      <c r="AB5" s="30">
        <v>3</v>
      </c>
      <c r="AC5" s="30">
        <v>3</v>
      </c>
      <c r="AD5" s="30">
        <v>2</v>
      </c>
      <c r="AE5" s="30">
        <v>2</v>
      </c>
      <c r="AF5" s="30">
        <v>1</v>
      </c>
      <c r="AG5" s="30">
        <v>4</v>
      </c>
      <c r="AH5" s="30">
        <v>3</v>
      </c>
      <c r="AI5" s="30">
        <v>2</v>
      </c>
      <c r="AJ5" s="30">
        <v>2</v>
      </c>
      <c r="AK5" s="30">
        <v>3</v>
      </c>
      <c r="AL5" s="30">
        <v>4</v>
      </c>
      <c r="AM5" s="30">
        <v>0</v>
      </c>
      <c r="AN5" s="30">
        <v>1</v>
      </c>
      <c r="AO5" s="30">
        <v>1</v>
      </c>
      <c r="AP5" s="30">
        <v>3</v>
      </c>
      <c r="AQ5" s="30">
        <v>3</v>
      </c>
      <c r="AR5" s="30">
        <v>3</v>
      </c>
      <c r="AS5" s="30">
        <v>2</v>
      </c>
      <c r="AT5" s="30">
        <v>3</v>
      </c>
      <c r="AU5" s="30">
        <v>3</v>
      </c>
      <c r="AV5" s="30">
        <v>2</v>
      </c>
      <c r="AW5" s="36">
        <f t="shared" si="1"/>
        <v>60</v>
      </c>
      <c r="AX5" s="30">
        <v>4</v>
      </c>
      <c r="AY5" s="30">
        <v>2</v>
      </c>
      <c r="AZ5" s="30">
        <v>4</v>
      </c>
      <c r="BA5" s="30">
        <v>2</v>
      </c>
      <c r="BB5" s="30">
        <v>2</v>
      </c>
      <c r="BC5" s="30">
        <v>5</v>
      </c>
      <c r="BD5" s="30">
        <v>4</v>
      </c>
      <c r="BE5" s="30">
        <v>2</v>
      </c>
      <c r="BF5" s="30">
        <v>3</v>
      </c>
      <c r="BG5" s="30">
        <v>5</v>
      </c>
      <c r="BH5" s="30">
        <v>2</v>
      </c>
      <c r="BI5" s="30">
        <v>5</v>
      </c>
      <c r="BJ5" s="37">
        <f t="shared" si="2"/>
        <v>40</v>
      </c>
    </row>
    <row r="6" spans="1:62" ht="60" x14ac:dyDescent="0.25">
      <c r="A6">
        <v>23</v>
      </c>
      <c r="B6" s="1" t="s">
        <v>132</v>
      </c>
      <c r="C6" s="1" t="s">
        <v>123</v>
      </c>
      <c r="D6" s="1" t="s">
        <v>124</v>
      </c>
      <c r="E6" s="1" t="s">
        <v>125</v>
      </c>
      <c r="F6" s="1" t="s">
        <v>126</v>
      </c>
      <c r="G6" s="1" t="s">
        <v>163</v>
      </c>
      <c r="H6" s="1" t="s">
        <v>128</v>
      </c>
      <c r="I6" s="30">
        <v>3</v>
      </c>
      <c r="J6" s="30">
        <v>2</v>
      </c>
      <c r="K6" s="30">
        <v>4</v>
      </c>
      <c r="L6" s="30">
        <v>2</v>
      </c>
      <c r="M6" s="30">
        <v>1</v>
      </c>
      <c r="N6" s="30">
        <v>2</v>
      </c>
      <c r="O6" s="30">
        <v>2</v>
      </c>
      <c r="P6" s="30">
        <v>2</v>
      </c>
      <c r="Q6" s="30">
        <v>2</v>
      </c>
      <c r="R6" s="30">
        <v>2</v>
      </c>
      <c r="S6" s="30">
        <v>2</v>
      </c>
      <c r="T6" s="30">
        <v>4</v>
      </c>
      <c r="U6" s="30">
        <v>2</v>
      </c>
      <c r="V6" s="30">
        <v>3</v>
      </c>
      <c r="W6" s="48">
        <f t="shared" si="0"/>
        <v>33</v>
      </c>
      <c r="X6" s="30">
        <v>2</v>
      </c>
      <c r="Y6" s="30">
        <v>2</v>
      </c>
      <c r="Z6" s="30">
        <v>3</v>
      </c>
      <c r="AA6" s="30">
        <v>2</v>
      </c>
      <c r="AB6" s="30">
        <v>2</v>
      </c>
      <c r="AC6" s="30">
        <v>3</v>
      </c>
      <c r="AD6" s="30">
        <v>2</v>
      </c>
      <c r="AE6" s="30">
        <v>2</v>
      </c>
      <c r="AF6" s="30">
        <v>3</v>
      </c>
      <c r="AG6" s="30">
        <v>3</v>
      </c>
      <c r="AH6" s="30">
        <v>3</v>
      </c>
      <c r="AI6" s="30">
        <v>3</v>
      </c>
      <c r="AJ6" s="30">
        <v>2</v>
      </c>
      <c r="AK6" s="30">
        <v>2</v>
      </c>
      <c r="AL6" s="30">
        <v>3</v>
      </c>
      <c r="AM6" s="30">
        <v>2</v>
      </c>
      <c r="AN6" s="30">
        <v>2</v>
      </c>
      <c r="AO6" s="30">
        <v>2</v>
      </c>
      <c r="AP6" s="30">
        <v>2</v>
      </c>
      <c r="AQ6" s="30">
        <v>2</v>
      </c>
      <c r="AR6" s="30">
        <v>3</v>
      </c>
      <c r="AS6" s="30">
        <v>2</v>
      </c>
      <c r="AT6" s="30">
        <v>2</v>
      </c>
      <c r="AU6" s="30">
        <v>3</v>
      </c>
      <c r="AV6" s="30">
        <v>3</v>
      </c>
      <c r="AW6" s="36">
        <f t="shared" si="1"/>
        <v>60</v>
      </c>
      <c r="AX6" s="30">
        <v>4</v>
      </c>
      <c r="AY6" s="30">
        <v>3</v>
      </c>
      <c r="AZ6" s="30">
        <v>4</v>
      </c>
      <c r="BA6" s="30">
        <v>3</v>
      </c>
      <c r="BB6" s="30">
        <v>3</v>
      </c>
      <c r="BC6" s="30">
        <v>4</v>
      </c>
      <c r="BD6" s="30">
        <v>3</v>
      </c>
      <c r="BE6" s="30">
        <v>4</v>
      </c>
      <c r="BF6" s="30">
        <v>4</v>
      </c>
      <c r="BG6" s="30">
        <v>4</v>
      </c>
      <c r="BH6" s="30">
        <v>3</v>
      </c>
      <c r="BI6" s="30">
        <v>4</v>
      </c>
      <c r="BJ6" s="37">
        <f t="shared" si="2"/>
        <v>43</v>
      </c>
    </row>
    <row r="7" spans="1:62" ht="30" x14ac:dyDescent="0.25">
      <c r="A7">
        <v>24</v>
      </c>
      <c r="B7" s="1" t="s">
        <v>132</v>
      </c>
      <c r="C7" s="1" t="s">
        <v>164</v>
      </c>
      <c r="D7" s="1" t="s">
        <v>124</v>
      </c>
      <c r="E7" s="1" t="s">
        <v>125</v>
      </c>
      <c r="F7" s="1" t="s">
        <v>126</v>
      </c>
      <c r="G7" s="1" t="s">
        <v>127</v>
      </c>
      <c r="H7" s="1" t="s">
        <v>128</v>
      </c>
      <c r="I7" s="30">
        <v>2</v>
      </c>
      <c r="J7" s="30">
        <v>4</v>
      </c>
      <c r="K7" s="30">
        <v>3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0</v>
      </c>
      <c r="R7" s="30">
        <v>2</v>
      </c>
      <c r="S7" s="30">
        <v>0</v>
      </c>
      <c r="T7" s="30">
        <v>4</v>
      </c>
      <c r="U7" s="30">
        <v>3</v>
      </c>
      <c r="V7" s="30">
        <v>1</v>
      </c>
      <c r="W7" s="48">
        <f t="shared" si="0"/>
        <v>24</v>
      </c>
      <c r="X7" s="30">
        <v>3</v>
      </c>
      <c r="Y7" s="30">
        <v>4</v>
      </c>
      <c r="Z7" s="30">
        <v>0</v>
      </c>
      <c r="AA7" s="30">
        <v>3</v>
      </c>
      <c r="AB7" s="30">
        <v>2</v>
      </c>
      <c r="AC7" s="30">
        <v>3</v>
      </c>
      <c r="AD7" s="30">
        <v>4</v>
      </c>
      <c r="AE7" s="30">
        <v>4</v>
      </c>
      <c r="AF7" s="30">
        <v>4</v>
      </c>
      <c r="AG7" s="30">
        <v>4</v>
      </c>
      <c r="AH7" s="30">
        <v>4</v>
      </c>
      <c r="AI7" s="30">
        <v>4</v>
      </c>
      <c r="AJ7" s="30">
        <v>4</v>
      </c>
      <c r="AK7" s="30">
        <v>3</v>
      </c>
      <c r="AL7" s="30">
        <v>4</v>
      </c>
      <c r="AM7" s="30">
        <v>3</v>
      </c>
      <c r="AN7" s="30">
        <v>4</v>
      </c>
      <c r="AO7" s="30">
        <v>3</v>
      </c>
      <c r="AP7" s="30">
        <v>3</v>
      </c>
      <c r="AQ7" s="30">
        <v>2</v>
      </c>
      <c r="AR7" s="30">
        <v>4</v>
      </c>
      <c r="AS7" s="30">
        <v>2</v>
      </c>
      <c r="AT7" s="30">
        <v>3</v>
      </c>
      <c r="AU7" s="30">
        <v>4</v>
      </c>
      <c r="AV7" s="30">
        <v>4</v>
      </c>
      <c r="AW7" s="36">
        <f t="shared" si="1"/>
        <v>82</v>
      </c>
      <c r="AX7" s="30">
        <v>5</v>
      </c>
      <c r="AY7" s="30">
        <v>3</v>
      </c>
      <c r="AZ7" s="30">
        <v>4</v>
      </c>
      <c r="BA7" s="30">
        <v>5</v>
      </c>
      <c r="BB7" s="30">
        <v>3</v>
      </c>
      <c r="BC7" s="30">
        <v>5</v>
      </c>
      <c r="BD7" s="30">
        <v>4</v>
      </c>
      <c r="BE7" s="30">
        <v>3</v>
      </c>
      <c r="BF7" s="30">
        <v>3</v>
      </c>
      <c r="BG7" s="30">
        <v>5</v>
      </c>
      <c r="BH7" s="30">
        <v>2</v>
      </c>
      <c r="BI7" s="30">
        <v>5</v>
      </c>
      <c r="BJ7" s="37">
        <f t="shared" si="2"/>
        <v>47</v>
      </c>
    </row>
    <row r="8" spans="1:62" ht="60" x14ac:dyDescent="0.25">
      <c r="A8">
        <v>25</v>
      </c>
      <c r="B8" s="1" t="s">
        <v>132</v>
      </c>
      <c r="C8" s="1" t="s">
        <v>123</v>
      </c>
      <c r="D8" s="1" t="s">
        <v>124</v>
      </c>
      <c r="E8" s="1" t="s">
        <v>165</v>
      </c>
      <c r="F8" s="1" t="s">
        <v>126</v>
      </c>
      <c r="G8" s="1" t="s">
        <v>127</v>
      </c>
      <c r="H8" s="1" t="s">
        <v>128</v>
      </c>
      <c r="I8" s="30">
        <v>2</v>
      </c>
      <c r="J8" s="30">
        <v>2</v>
      </c>
      <c r="K8" s="30">
        <v>3</v>
      </c>
      <c r="L8" s="30">
        <v>1</v>
      </c>
      <c r="M8" s="30">
        <v>2</v>
      </c>
      <c r="N8" s="30">
        <v>3</v>
      </c>
      <c r="O8" s="30">
        <v>2</v>
      </c>
      <c r="P8" s="30">
        <v>2</v>
      </c>
      <c r="Q8" s="30">
        <v>1</v>
      </c>
      <c r="R8" s="30">
        <v>3</v>
      </c>
      <c r="S8" s="30">
        <v>1</v>
      </c>
      <c r="T8" s="30">
        <v>4</v>
      </c>
      <c r="U8" s="30">
        <v>3</v>
      </c>
      <c r="V8" s="30">
        <v>1</v>
      </c>
      <c r="W8" s="48">
        <f t="shared" si="0"/>
        <v>30</v>
      </c>
      <c r="X8" s="30">
        <v>2</v>
      </c>
      <c r="Y8" s="30">
        <v>3</v>
      </c>
      <c r="Z8" s="30">
        <v>0</v>
      </c>
      <c r="AA8" s="30">
        <v>3</v>
      </c>
      <c r="AB8" s="30">
        <v>3</v>
      </c>
      <c r="AC8" s="30">
        <v>2</v>
      </c>
      <c r="AD8" s="30">
        <v>2</v>
      </c>
      <c r="AE8" s="30">
        <v>1</v>
      </c>
      <c r="AF8" s="30">
        <v>2</v>
      </c>
      <c r="AG8" s="30">
        <v>3</v>
      </c>
      <c r="AH8" s="30">
        <v>3</v>
      </c>
      <c r="AI8" s="30">
        <v>2</v>
      </c>
      <c r="AJ8" s="30">
        <v>3</v>
      </c>
      <c r="AK8" s="30">
        <v>1</v>
      </c>
      <c r="AL8" s="30">
        <v>2</v>
      </c>
      <c r="AM8" s="30">
        <v>1</v>
      </c>
      <c r="AN8" s="30">
        <v>2</v>
      </c>
      <c r="AO8" s="30">
        <v>2</v>
      </c>
      <c r="AP8" s="30">
        <v>2</v>
      </c>
      <c r="AQ8" s="30">
        <v>2</v>
      </c>
      <c r="AR8" s="30">
        <v>3</v>
      </c>
      <c r="AS8" s="30">
        <v>2</v>
      </c>
      <c r="AT8" s="30">
        <v>2</v>
      </c>
      <c r="AU8" s="30">
        <v>2</v>
      </c>
      <c r="AV8" s="30">
        <v>4</v>
      </c>
      <c r="AW8" s="36">
        <f t="shared" si="1"/>
        <v>54</v>
      </c>
      <c r="AX8" s="30">
        <v>4</v>
      </c>
      <c r="AY8" s="30">
        <v>1</v>
      </c>
      <c r="AZ8" s="30">
        <v>3</v>
      </c>
      <c r="BA8" s="30">
        <v>2</v>
      </c>
      <c r="BB8" s="30">
        <v>3</v>
      </c>
      <c r="BC8" s="30">
        <v>5</v>
      </c>
      <c r="BD8" s="30">
        <v>3</v>
      </c>
      <c r="BE8" s="30">
        <v>3</v>
      </c>
      <c r="BF8" s="30">
        <v>4</v>
      </c>
      <c r="BG8" s="30">
        <v>4</v>
      </c>
      <c r="BH8" s="30">
        <v>4</v>
      </c>
      <c r="BI8" s="30">
        <v>4</v>
      </c>
      <c r="BJ8" s="37">
        <f t="shared" si="2"/>
        <v>40</v>
      </c>
    </row>
    <row r="9" spans="1:62" ht="60" x14ac:dyDescent="0.25">
      <c r="A9">
        <v>26</v>
      </c>
      <c r="B9" s="1" t="s">
        <v>132</v>
      </c>
      <c r="C9" s="1" t="s">
        <v>148</v>
      </c>
      <c r="D9" s="1" t="s">
        <v>124</v>
      </c>
      <c r="E9" s="1" t="s">
        <v>125</v>
      </c>
      <c r="F9" s="1" t="s">
        <v>126</v>
      </c>
      <c r="G9" s="1" t="s">
        <v>163</v>
      </c>
      <c r="H9" s="1" t="s">
        <v>128</v>
      </c>
      <c r="I9" s="30">
        <v>2</v>
      </c>
      <c r="J9" s="30">
        <v>2</v>
      </c>
      <c r="K9" s="30">
        <v>4</v>
      </c>
      <c r="L9" s="30">
        <v>1</v>
      </c>
      <c r="M9" s="30">
        <v>2</v>
      </c>
      <c r="N9" s="30">
        <v>1</v>
      </c>
      <c r="O9" s="30">
        <v>1</v>
      </c>
      <c r="P9" s="30">
        <v>2</v>
      </c>
      <c r="Q9" s="30">
        <v>1</v>
      </c>
      <c r="R9" s="30">
        <v>3</v>
      </c>
      <c r="S9" s="30">
        <v>1</v>
      </c>
      <c r="T9" s="30">
        <v>4</v>
      </c>
      <c r="U9" s="30">
        <v>1</v>
      </c>
      <c r="V9" s="30">
        <v>3</v>
      </c>
      <c r="W9" s="48">
        <f t="shared" si="0"/>
        <v>28</v>
      </c>
      <c r="X9" s="30">
        <v>4</v>
      </c>
      <c r="Y9" s="30">
        <v>3</v>
      </c>
      <c r="Z9" s="30">
        <v>3</v>
      </c>
      <c r="AA9" s="30">
        <v>3</v>
      </c>
      <c r="AB9" s="30">
        <v>2</v>
      </c>
      <c r="AC9" s="30">
        <v>3</v>
      </c>
      <c r="AD9" s="30">
        <v>2</v>
      </c>
      <c r="AE9" s="30">
        <v>3</v>
      </c>
      <c r="AF9" s="30">
        <v>3</v>
      </c>
      <c r="AG9" s="30">
        <v>3</v>
      </c>
      <c r="AH9" s="30">
        <v>3</v>
      </c>
      <c r="AI9" s="30">
        <v>4</v>
      </c>
      <c r="AJ9" s="30">
        <v>4</v>
      </c>
      <c r="AK9" s="30">
        <v>2</v>
      </c>
      <c r="AL9" s="30">
        <v>2</v>
      </c>
      <c r="AM9" s="30">
        <v>3</v>
      </c>
      <c r="AN9" s="30">
        <v>4</v>
      </c>
      <c r="AO9" s="30">
        <v>2</v>
      </c>
      <c r="AP9" s="30">
        <v>3</v>
      </c>
      <c r="AQ9" s="30">
        <v>2</v>
      </c>
      <c r="AR9" s="30">
        <v>4</v>
      </c>
      <c r="AS9" s="30">
        <v>2</v>
      </c>
      <c r="AT9" s="30">
        <v>2</v>
      </c>
      <c r="AU9" s="30">
        <v>3</v>
      </c>
      <c r="AV9" s="30">
        <v>2</v>
      </c>
      <c r="AW9" s="36">
        <f t="shared" si="1"/>
        <v>71</v>
      </c>
      <c r="AX9" s="30">
        <v>3</v>
      </c>
      <c r="AY9" s="30">
        <v>2</v>
      </c>
      <c r="AZ9" s="30">
        <v>4</v>
      </c>
      <c r="BA9" s="30">
        <v>3</v>
      </c>
      <c r="BB9" s="30">
        <v>3</v>
      </c>
      <c r="BC9" s="30">
        <v>5</v>
      </c>
      <c r="BD9" s="30">
        <v>4</v>
      </c>
      <c r="BE9" s="30">
        <v>3</v>
      </c>
      <c r="BF9" s="30">
        <v>4</v>
      </c>
      <c r="BG9" s="30">
        <v>5</v>
      </c>
      <c r="BH9" s="30">
        <v>4</v>
      </c>
      <c r="BI9" s="30">
        <v>4</v>
      </c>
      <c r="BJ9" s="37">
        <f t="shared" si="2"/>
        <v>44</v>
      </c>
    </row>
    <row r="10" spans="1:62" ht="60" x14ac:dyDescent="0.25">
      <c r="A10">
        <v>27</v>
      </c>
      <c r="B10" s="1" t="s">
        <v>122</v>
      </c>
      <c r="C10" s="1" t="s">
        <v>140</v>
      </c>
      <c r="D10" s="1" t="s">
        <v>135</v>
      </c>
      <c r="E10" s="1" t="s">
        <v>165</v>
      </c>
      <c r="F10" s="1" t="s">
        <v>126</v>
      </c>
      <c r="G10" s="1" t="s">
        <v>141</v>
      </c>
      <c r="H10" s="1" t="s">
        <v>128</v>
      </c>
      <c r="I10" s="30">
        <v>3</v>
      </c>
      <c r="J10" s="30">
        <v>3</v>
      </c>
      <c r="K10" s="30">
        <v>4</v>
      </c>
      <c r="L10" s="30">
        <v>1</v>
      </c>
      <c r="M10" s="30">
        <v>2</v>
      </c>
      <c r="N10" s="30">
        <v>2</v>
      </c>
      <c r="O10" s="30">
        <v>2</v>
      </c>
      <c r="P10" s="30">
        <v>1</v>
      </c>
      <c r="Q10" s="30">
        <v>3</v>
      </c>
      <c r="R10" s="30">
        <v>2</v>
      </c>
      <c r="S10" s="30">
        <v>3</v>
      </c>
      <c r="T10" s="30">
        <v>4</v>
      </c>
      <c r="U10" s="30">
        <v>2</v>
      </c>
      <c r="V10" s="30">
        <v>3</v>
      </c>
      <c r="W10" s="48">
        <f t="shared" si="0"/>
        <v>35</v>
      </c>
      <c r="X10" s="30">
        <v>4</v>
      </c>
      <c r="Y10" s="30">
        <v>2</v>
      </c>
      <c r="Z10" s="30">
        <v>3</v>
      </c>
      <c r="AA10" s="30">
        <v>4</v>
      </c>
      <c r="AB10" s="30">
        <v>4</v>
      </c>
      <c r="AC10" s="30">
        <v>4</v>
      </c>
      <c r="AD10" s="30">
        <v>2</v>
      </c>
      <c r="AE10" s="30">
        <v>4</v>
      </c>
      <c r="AF10" s="30">
        <v>4</v>
      </c>
      <c r="AG10" s="30">
        <v>4</v>
      </c>
      <c r="AH10" s="30">
        <v>4</v>
      </c>
      <c r="AI10" s="30">
        <v>4</v>
      </c>
      <c r="AJ10" s="30">
        <v>1</v>
      </c>
      <c r="AK10" s="30">
        <v>3</v>
      </c>
      <c r="AL10" s="30">
        <v>3</v>
      </c>
      <c r="AM10" s="30">
        <v>3</v>
      </c>
      <c r="AN10" s="30">
        <v>4</v>
      </c>
      <c r="AO10" s="30">
        <v>4</v>
      </c>
      <c r="AP10" s="30">
        <v>3</v>
      </c>
      <c r="AQ10" s="30">
        <v>2</v>
      </c>
      <c r="AR10" s="30">
        <v>4</v>
      </c>
      <c r="AS10" s="30">
        <v>3</v>
      </c>
      <c r="AT10" s="30">
        <v>3</v>
      </c>
      <c r="AU10" s="30">
        <v>2</v>
      </c>
      <c r="AV10" s="30">
        <v>4</v>
      </c>
      <c r="AW10" s="36">
        <f t="shared" si="1"/>
        <v>82</v>
      </c>
      <c r="AX10" s="30">
        <v>5</v>
      </c>
      <c r="AY10" s="30">
        <v>3</v>
      </c>
      <c r="AZ10" s="30">
        <v>4</v>
      </c>
      <c r="BA10" s="30">
        <v>4</v>
      </c>
      <c r="BB10" s="30">
        <v>3</v>
      </c>
      <c r="BC10" s="30">
        <v>5</v>
      </c>
      <c r="BD10" s="30">
        <v>3</v>
      </c>
      <c r="BE10" s="30">
        <v>3</v>
      </c>
      <c r="BF10" s="30">
        <v>3</v>
      </c>
      <c r="BG10" s="30">
        <v>5</v>
      </c>
      <c r="BH10" s="30">
        <v>2</v>
      </c>
      <c r="BI10" s="30">
        <v>3</v>
      </c>
      <c r="BJ10" s="37">
        <f t="shared" si="2"/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D7C5-0795-4858-9FED-0B23E18841D6}">
  <dimension ref="A1:BJ9"/>
  <sheetViews>
    <sheetView topLeftCell="A5" zoomScale="72" workbookViewId="0">
      <selection activeCell="H5" sqref="H5"/>
    </sheetView>
  </sheetViews>
  <sheetFormatPr defaultRowHeight="15" x14ac:dyDescent="0.25"/>
  <sheetData>
    <row r="1" spans="1:6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7" t="s">
        <v>143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27" t="s">
        <v>46</v>
      </c>
      <c r="AV1" s="27" t="s">
        <v>47</v>
      </c>
      <c r="AW1" s="27" t="s">
        <v>48</v>
      </c>
      <c r="AX1" s="6" t="s">
        <v>166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</row>
    <row r="2" spans="1:62" x14ac:dyDescent="0.25">
      <c r="A2" s="2"/>
      <c r="B2" s="2" t="s">
        <v>154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6" t="s">
        <v>69</v>
      </c>
      <c r="J2" s="26" t="s">
        <v>70</v>
      </c>
      <c r="K2" s="26" t="s">
        <v>71</v>
      </c>
      <c r="L2" s="26" t="s">
        <v>72</v>
      </c>
      <c r="M2" s="26" t="s">
        <v>73</v>
      </c>
      <c r="N2" s="26" t="s">
        <v>74</v>
      </c>
      <c r="O2" s="26" t="s">
        <v>75</v>
      </c>
      <c r="P2" s="26" t="s">
        <v>76</v>
      </c>
      <c r="Q2" s="26" t="s">
        <v>77</v>
      </c>
      <c r="R2" s="26" t="s">
        <v>78</v>
      </c>
      <c r="S2" s="26" t="s">
        <v>79</v>
      </c>
      <c r="T2" s="26" t="s">
        <v>80</v>
      </c>
      <c r="U2" s="26" t="s">
        <v>81</v>
      </c>
      <c r="V2" s="26" t="s">
        <v>82</v>
      </c>
      <c r="W2" s="26" t="s">
        <v>167</v>
      </c>
      <c r="X2" s="27" t="s">
        <v>84</v>
      </c>
      <c r="Y2" s="27" t="s">
        <v>85</v>
      </c>
      <c r="Z2" s="27" t="s">
        <v>86</v>
      </c>
      <c r="AA2" s="27" t="s">
        <v>87</v>
      </c>
      <c r="AB2" s="27" t="s">
        <v>88</v>
      </c>
      <c r="AC2" s="27" t="s">
        <v>89</v>
      </c>
      <c r="AD2" s="27" t="s">
        <v>90</v>
      </c>
      <c r="AE2" s="27" t="s">
        <v>91</v>
      </c>
      <c r="AF2" s="27" t="s">
        <v>92</v>
      </c>
      <c r="AG2" s="27" t="s">
        <v>93</v>
      </c>
      <c r="AH2" s="27" t="s">
        <v>94</v>
      </c>
      <c r="AI2" s="27" t="s">
        <v>95</v>
      </c>
      <c r="AJ2" s="27" t="s">
        <v>96</v>
      </c>
      <c r="AK2" s="27" t="s">
        <v>97</v>
      </c>
      <c r="AL2" s="27" t="s">
        <v>98</v>
      </c>
      <c r="AM2" s="27" t="s">
        <v>99</v>
      </c>
      <c r="AN2" s="27" t="s">
        <v>100</v>
      </c>
      <c r="AO2" s="27" t="s">
        <v>101</v>
      </c>
      <c r="AP2" s="27" t="s">
        <v>102</v>
      </c>
      <c r="AQ2" s="27" t="s">
        <v>103</v>
      </c>
      <c r="AR2" s="27" t="s">
        <v>104</v>
      </c>
      <c r="AS2" s="27" t="s">
        <v>105</v>
      </c>
      <c r="AT2" s="27" t="s">
        <v>106</v>
      </c>
      <c r="AU2" s="27" t="s">
        <v>107</v>
      </c>
      <c r="AV2" s="27" t="s">
        <v>108</v>
      </c>
      <c r="AW2" s="27" t="s">
        <v>167</v>
      </c>
      <c r="AX2" s="6" t="s">
        <v>110</v>
      </c>
      <c r="AY2" s="6" t="s">
        <v>111</v>
      </c>
      <c r="AZ2" s="6" t="s">
        <v>112</v>
      </c>
      <c r="BA2" s="6" t="s">
        <v>113</v>
      </c>
      <c r="BB2" s="6" t="s">
        <v>114</v>
      </c>
      <c r="BC2" s="6" t="s">
        <v>115</v>
      </c>
      <c r="BD2" s="6" t="s">
        <v>116</v>
      </c>
      <c r="BE2" s="6" t="s">
        <v>117</v>
      </c>
      <c r="BF2" s="6" t="s">
        <v>118</v>
      </c>
      <c r="BG2" s="6" t="s">
        <v>119</v>
      </c>
      <c r="BH2" s="6" t="s">
        <v>120</v>
      </c>
      <c r="BI2" s="6" t="s">
        <v>121</v>
      </c>
      <c r="BJ2" s="6" t="s">
        <v>168</v>
      </c>
    </row>
    <row r="3" spans="1:62" ht="30" x14ac:dyDescent="0.25">
      <c r="A3">
        <v>20</v>
      </c>
      <c r="B3" s="1" t="s">
        <v>122</v>
      </c>
      <c r="C3" s="1" t="s">
        <v>140</v>
      </c>
      <c r="D3" s="1" t="s">
        <v>135</v>
      </c>
      <c r="E3" s="1" t="s">
        <v>159</v>
      </c>
      <c r="F3" s="1" t="s">
        <v>126</v>
      </c>
      <c r="G3" s="1" t="s">
        <v>141</v>
      </c>
      <c r="H3" s="1" t="s">
        <v>128</v>
      </c>
      <c r="I3" s="30">
        <v>1</v>
      </c>
      <c r="J3" s="30">
        <v>1</v>
      </c>
      <c r="K3" s="30">
        <v>2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2</v>
      </c>
      <c r="U3" s="30">
        <v>1</v>
      </c>
      <c r="V3" s="30">
        <v>1</v>
      </c>
      <c r="W3" s="48">
        <f t="shared" ref="W3:W9" si="0">SUM(I3:V3)</f>
        <v>16</v>
      </c>
      <c r="X3" s="30">
        <v>3</v>
      </c>
      <c r="Y3" s="30">
        <v>4</v>
      </c>
      <c r="Z3" s="30">
        <v>0</v>
      </c>
      <c r="AA3" s="30">
        <v>3</v>
      </c>
      <c r="AB3" s="30">
        <v>3</v>
      </c>
      <c r="AC3" s="30">
        <v>3</v>
      </c>
      <c r="AD3" s="30">
        <v>2</v>
      </c>
      <c r="AE3" s="30">
        <v>3</v>
      </c>
      <c r="AF3" s="30">
        <v>2</v>
      </c>
      <c r="AG3" s="30">
        <v>3</v>
      </c>
      <c r="AH3" s="30">
        <v>3</v>
      </c>
      <c r="AI3" s="30">
        <v>3</v>
      </c>
      <c r="AJ3" s="30">
        <v>4</v>
      </c>
      <c r="AK3" s="30">
        <v>3</v>
      </c>
      <c r="AL3" s="30">
        <v>2</v>
      </c>
      <c r="AM3" s="30">
        <v>3</v>
      </c>
      <c r="AN3" s="30">
        <v>3</v>
      </c>
      <c r="AO3" s="30">
        <v>2</v>
      </c>
      <c r="AP3" s="30">
        <v>3</v>
      </c>
      <c r="AQ3" s="30">
        <v>2</v>
      </c>
      <c r="AR3" s="30">
        <v>3</v>
      </c>
      <c r="AS3" s="30">
        <v>3</v>
      </c>
      <c r="AT3" s="30">
        <v>3</v>
      </c>
      <c r="AU3" s="30">
        <v>3</v>
      </c>
      <c r="AV3" s="30">
        <v>3</v>
      </c>
      <c r="AW3" s="36">
        <f t="shared" ref="AW3:AW9" si="1">SUM(X3:AV3)</f>
        <v>69</v>
      </c>
      <c r="AX3" s="30">
        <v>4</v>
      </c>
      <c r="AY3" s="30">
        <v>3</v>
      </c>
      <c r="AZ3" s="30">
        <v>4</v>
      </c>
      <c r="BA3" s="30">
        <v>4</v>
      </c>
      <c r="BB3" s="30">
        <v>4</v>
      </c>
      <c r="BC3" s="30">
        <v>5</v>
      </c>
      <c r="BD3" s="30">
        <v>4</v>
      </c>
      <c r="BE3" s="30">
        <v>4</v>
      </c>
      <c r="BF3" s="30">
        <v>4</v>
      </c>
      <c r="BG3" s="30">
        <v>4</v>
      </c>
      <c r="BH3" s="30">
        <v>3</v>
      </c>
      <c r="BI3" s="30">
        <v>4</v>
      </c>
      <c r="BJ3" s="37">
        <f t="shared" ref="BJ3:BJ9" si="2">SUM(AX3:BI3)</f>
        <v>47</v>
      </c>
    </row>
    <row r="4" spans="1:62" ht="75.599999999999994" customHeight="1" x14ac:dyDescent="0.25">
      <c r="A4">
        <v>21</v>
      </c>
      <c r="B4" s="1" t="s">
        <v>132</v>
      </c>
      <c r="C4" s="1" t="s">
        <v>140</v>
      </c>
      <c r="D4" s="1" t="s">
        <v>135</v>
      </c>
      <c r="E4" s="1" t="s">
        <v>125</v>
      </c>
      <c r="F4" s="1" t="s">
        <v>126</v>
      </c>
      <c r="G4" s="1" t="s">
        <v>141</v>
      </c>
      <c r="H4" s="1" t="s">
        <v>160</v>
      </c>
      <c r="I4" s="30">
        <v>2</v>
      </c>
      <c r="J4" s="30">
        <v>2</v>
      </c>
      <c r="K4" s="30">
        <v>4</v>
      </c>
      <c r="L4" s="30">
        <v>2</v>
      </c>
      <c r="M4" s="30">
        <v>1</v>
      </c>
      <c r="N4" s="30">
        <v>1</v>
      </c>
      <c r="O4" s="30">
        <v>2</v>
      </c>
      <c r="P4" s="30">
        <v>1</v>
      </c>
      <c r="Q4" s="30">
        <v>1</v>
      </c>
      <c r="R4" s="30">
        <v>2</v>
      </c>
      <c r="S4" s="30">
        <v>3</v>
      </c>
      <c r="T4" s="30">
        <v>3</v>
      </c>
      <c r="U4" s="30">
        <v>3</v>
      </c>
      <c r="V4" s="30">
        <v>2</v>
      </c>
      <c r="W4" s="48">
        <f t="shared" si="0"/>
        <v>29</v>
      </c>
      <c r="X4" s="30">
        <v>4</v>
      </c>
      <c r="Y4" s="30">
        <v>2</v>
      </c>
      <c r="Z4" s="30">
        <v>0</v>
      </c>
      <c r="AA4" s="30">
        <v>3</v>
      </c>
      <c r="AB4" s="30">
        <v>3</v>
      </c>
      <c r="AC4" s="30">
        <v>4</v>
      </c>
      <c r="AD4" s="30">
        <v>2</v>
      </c>
      <c r="AE4" s="30">
        <v>4</v>
      </c>
      <c r="AF4" s="30">
        <v>3</v>
      </c>
      <c r="AG4" s="30">
        <v>2</v>
      </c>
      <c r="AH4" s="30">
        <v>2</v>
      </c>
      <c r="AI4" s="30">
        <v>3</v>
      </c>
      <c r="AJ4" s="30">
        <v>4</v>
      </c>
      <c r="AK4" s="30">
        <v>2</v>
      </c>
      <c r="AL4" s="30">
        <v>3</v>
      </c>
      <c r="AM4" s="30">
        <v>4</v>
      </c>
      <c r="AN4" s="30">
        <v>3</v>
      </c>
      <c r="AO4" s="30">
        <v>3</v>
      </c>
      <c r="AP4" s="30">
        <v>4</v>
      </c>
      <c r="AQ4" s="30">
        <v>2</v>
      </c>
      <c r="AR4" s="30">
        <v>4</v>
      </c>
      <c r="AS4" s="30">
        <v>3</v>
      </c>
      <c r="AT4" s="30">
        <v>4</v>
      </c>
      <c r="AU4" s="30">
        <v>4</v>
      </c>
      <c r="AV4" s="30">
        <v>4</v>
      </c>
      <c r="AW4" s="36">
        <f t="shared" si="1"/>
        <v>76</v>
      </c>
      <c r="AX4" s="30">
        <v>5</v>
      </c>
      <c r="AY4" s="30">
        <v>1</v>
      </c>
      <c r="AZ4" s="30">
        <v>2</v>
      </c>
      <c r="BA4" s="30">
        <v>3</v>
      </c>
      <c r="BB4" s="30">
        <v>2</v>
      </c>
      <c r="BC4" s="30">
        <v>5</v>
      </c>
      <c r="BD4" s="30">
        <v>3</v>
      </c>
      <c r="BE4" s="30">
        <v>3</v>
      </c>
      <c r="BF4" s="30">
        <v>4</v>
      </c>
      <c r="BG4" s="30">
        <v>5</v>
      </c>
      <c r="BH4" s="30">
        <v>2</v>
      </c>
      <c r="BI4" s="30">
        <v>4</v>
      </c>
      <c r="BJ4" s="37">
        <f t="shared" si="2"/>
        <v>39</v>
      </c>
    </row>
    <row r="5" spans="1:62" ht="55.5" customHeight="1" x14ac:dyDescent="0.25">
      <c r="A5">
        <v>22</v>
      </c>
      <c r="B5" s="1" t="s">
        <v>122</v>
      </c>
      <c r="C5" s="1" t="s">
        <v>140</v>
      </c>
      <c r="D5" s="1" t="s">
        <v>124</v>
      </c>
      <c r="E5" s="1" t="s">
        <v>125</v>
      </c>
      <c r="F5" s="1" t="s">
        <v>169</v>
      </c>
      <c r="G5" s="1" t="s">
        <v>141</v>
      </c>
      <c r="H5" s="1" t="s">
        <v>162</v>
      </c>
      <c r="I5" s="30">
        <v>2</v>
      </c>
      <c r="J5" s="30">
        <v>3</v>
      </c>
      <c r="K5" s="30">
        <v>4</v>
      </c>
      <c r="L5" s="30">
        <v>1</v>
      </c>
      <c r="M5" s="30">
        <v>1</v>
      </c>
      <c r="N5" s="30">
        <v>2</v>
      </c>
      <c r="O5" s="30">
        <v>0</v>
      </c>
      <c r="P5" s="30">
        <v>2</v>
      </c>
      <c r="Q5" s="30">
        <v>3</v>
      </c>
      <c r="R5" s="30">
        <v>1</v>
      </c>
      <c r="S5" s="30">
        <v>3</v>
      </c>
      <c r="T5" s="30">
        <v>3</v>
      </c>
      <c r="U5" s="30">
        <v>3</v>
      </c>
      <c r="V5" s="30">
        <v>3</v>
      </c>
      <c r="W5" s="48">
        <f t="shared" si="0"/>
        <v>31</v>
      </c>
      <c r="X5" s="30">
        <v>3</v>
      </c>
      <c r="Y5" s="30">
        <v>4</v>
      </c>
      <c r="Z5" s="30">
        <v>0</v>
      </c>
      <c r="AA5" s="30">
        <v>2</v>
      </c>
      <c r="AB5" s="30">
        <v>3</v>
      </c>
      <c r="AC5" s="30">
        <v>3</v>
      </c>
      <c r="AD5" s="30">
        <v>3</v>
      </c>
      <c r="AE5" s="30">
        <v>2</v>
      </c>
      <c r="AF5" s="30">
        <v>0</v>
      </c>
      <c r="AG5" s="30">
        <v>4</v>
      </c>
      <c r="AH5" s="30">
        <v>3</v>
      </c>
      <c r="AI5" s="30">
        <v>3</v>
      </c>
      <c r="AJ5" s="30">
        <v>4</v>
      </c>
      <c r="AK5" s="30">
        <v>2</v>
      </c>
      <c r="AL5" s="30">
        <v>3</v>
      </c>
      <c r="AM5" s="30">
        <v>0</v>
      </c>
      <c r="AN5" s="30">
        <v>2</v>
      </c>
      <c r="AO5" s="30">
        <v>1</v>
      </c>
      <c r="AP5" s="30">
        <v>2</v>
      </c>
      <c r="AQ5" s="30">
        <v>3</v>
      </c>
      <c r="AR5" s="30">
        <v>3</v>
      </c>
      <c r="AS5" s="30">
        <v>1</v>
      </c>
      <c r="AT5" s="30">
        <v>3</v>
      </c>
      <c r="AU5" s="30">
        <v>4</v>
      </c>
      <c r="AV5" s="30">
        <v>2</v>
      </c>
      <c r="AW5" s="36">
        <f t="shared" si="1"/>
        <v>60</v>
      </c>
      <c r="AX5" s="30">
        <v>4</v>
      </c>
      <c r="AY5" s="30">
        <v>2</v>
      </c>
      <c r="AZ5" s="30">
        <v>4</v>
      </c>
      <c r="BA5" s="30">
        <v>2</v>
      </c>
      <c r="BB5" s="30">
        <v>2</v>
      </c>
      <c r="BC5" s="30">
        <v>5</v>
      </c>
      <c r="BD5" s="30">
        <v>3</v>
      </c>
      <c r="BE5" s="30">
        <v>1</v>
      </c>
      <c r="BF5" s="30">
        <v>4</v>
      </c>
      <c r="BG5" s="30">
        <v>4</v>
      </c>
      <c r="BH5" s="30">
        <v>4</v>
      </c>
      <c r="BI5" s="30">
        <v>4</v>
      </c>
      <c r="BJ5" s="37">
        <f t="shared" si="2"/>
        <v>39</v>
      </c>
    </row>
    <row r="6" spans="1:62" ht="30" x14ac:dyDescent="0.25">
      <c r="A6">
        <v>24</v>
      </c>
      <c r="B6" s="1" t="s">
        <v>132</v>
      </c>
      <c r="C6" s="1" t="s">
        <v>123</v>
      </c>
      <c r="D6" s="1" t="s">
        <v>124</v>
      </c>
      <c r="E6" s="1" t="s">
        <v>125</v>
      </c>
      <c r="F6" s="1" t="s">
        <v>126</v>
      </c>
      <c r="G6" s="1" t="s">
        <v>127</v>
      </c>
      <c r="H6" s="1" t="s">
        <v>128</v>
      </c>
      <c r="I6" s="30">
        <v>3</v>
      </c>
      <c r="J6" s="30">
        <v>3</v>
      </c>
      <c r="K6" s="30">
        <v>2</v>
      </c>
      <c r="L6" s="30">
        <v>1</v>
      </c>
      <c r="M6" s="30">
        <v>2</v>
      </c>
      <c r="N6" s="30">
        <v>2</v>
      </c>
      <c r="O6" s="30">
        <v>3</v>
      </c>
      <c r="P6" s="30">
        <v>2</v>
      </c>
      <c r="Q6" s="30">
        <v>3</v>
      </c>
      <c r="R6" s="30">
        <v>2</v>
      </c>
      <c r="S6" s="30">
        <v>3</v>
      </c>
      <c r="T6" s="30">
        <v>4</v>
      </c>
      <c r="U6" s="30">
        <v>3</v>
      </c>
      <c r="V6" s="30">
        <v>3</v>
      </c>
      <c r="W6" s="48">
        <f t="shared" si="0"/>
        <v>36</v>
      </c>
      <c r="X6" s="30">
        <v>3</v>
      </c>
      <c r="Y6" s="30">
        <v>4</v>
      </c>
      <c r="Z6" s="30">
        <v>0</v>
      </c>
      <c r="AA6" s="30">
        <v>4</v>
      </c>
      <c r="AB6" s="30">
        <v>3</v>
      </c>
      <c r="AC6" s="30">
        <v>2</v>
      </c>
      <c r="AD6" s="30">
        <v>2</v>
      </c>
      <c r="AE6" s="30">
        <v>3</v>
      </c>
      <c r="AF6" s="30">
        <v>3</v>
      </c>
      <c r="AG6" s="30">
        <v>4</v>
      </c>
      <c r="AH6" s="30">
        <v>3</v>
      </c>
      <c r="AI6" s="30">
        <v>4</v>
      </c>
      <c r="AJ6" s="30">
        <v>4</v>
      </c>
      <c r="AK6" s="30">
        <v>3</v>
      </c>
      <c r="AL6" s="30">
        <v>4</v>
      </c>
      <c r="AM6" s="30">
        <v>3</v>
      </c>
      <c r="AN6" s="30">
        <v>3</v>
      </c>
      <c r="AO6" s="30">
        <v>2</v>
      </c>
      <c r="AP6" s="30">
        <v>3</v>
      </c>
      <c r="AQ6" s="30">
        <v>2</v>
      </c>
      <c r="AR6" s="30">
        <v>2</v>
      </c>
      <c r="AS6" s="30">
        <v>3</v>
      </c>
      <c r="AT6" s="30">
        <v>2</v>
      </c>
      <c r="AU6" s="30">
        <v>4</v>
      </c>
      <c r="AV6" s="30">
        <v>2</v>
      </c>
      <c r="AW6" s="36">
        <f t="shared" si="1"/>
        <v>72</v>
      </c>
      <c r="AX6" s="30">
        <v>4</v>
      </c>
      <c r="AY6" s="30">
        <v>1</v>
      </c>
      <c r="AZ6" s="30">
        <v>3</v>
      </c>
      <c r="BA6" s="30">
        <v>5</v>
      </c>
      <c r="BB6" s="30">
        <v>3</v>
      </c>
      <c r="BC6" s="30">
        <v>5</v>
      </c>
      <c r="BD6" s="30">
        <v>4</v>
      </c>
      <c r="BE6" s="30">
        <v>4</v>
      </c>
      <c r="BF6" s="30">
        <v>4</v>
      </c>
      <c r="BG6" s="30">
        <v>5</v>
      </c>
      <c r="BH6" s="30">
        <v>3</v>
      </c>
      <c r="BI6" s="30">
        <v>5</v>
      </c>
      <c r="BJ6" s="37">
        <f t="shared" si="2"/>
        <v>46</v>
      </c>
    </row>
    <row r="7" spans="1:62" ht="60" x14ac:dyDescent="0.25">
      <c r="A7">
        <v>25</v>
      </c>
      <c r="B7" s="1" t="s">
        <v>132</v>
      </c>
      <c r="C7" s="1" t="s">
        <v>123</v>
      </c>
      <c r="D7" s="1" t="s">
        <v>124</v>
      </c>
      <c r="E7" s="1" t="s">
        <v>165</v>
      </c>
      <c r="F7" s="1" t="s">
        <v>126</v>
      </c>
      <c r="G7" s="1" t="s">
        <v>127</v>
      </c>
      <c r="H7" s="1" t="s">
        <v>128</v>
      </c>
      <c r="I7" s="30">
        <v>2</v>
      </c>
      <c r="J7" s="30">
        <v>2</v>
      </c>
      <c r="K7" s="30">
        <v>4</v>
      </c>
      <c r="L7" s="30">
        <v>2</v>
      </c>
      <c r="M7" s="30">
        <v>2</v>
      </c>
      <c r="N7" s="30">
        <v>2</v>
      </c>
      <c r="O7" s="30">
        <v>2</v>
      </c>
      <c r="P7" s="30">
        <v>2</v>
      </c>
      <c r="Q7" s="30">
        <v>2</v>
      </c>
      <c r="R7" s="30">
        <v>2</v>
      </c>
      <c r="S7" s="30">
        <v>2</v>
      </c>
      <c r="T7" s="30">
        <v>3</v>
      </c>
      <c r="U7" s="30">
        <v>2</v>
      </c>
      <c r="V7" s="30">
        <v>3</v>
      </c>
      <c r="W7" s="48">
        <f t="shared" si="0"/>
        <v>32</v>
      </c>
      <c r="X7" s="30">
        <v>2</v>
      </c>
      <c r="Y7" s="30">
        <v>4</v>
      </c>
      <c r="Z7" s="30">
        <v>0</v>
      </c>
      <c r="AA7" s="30">
        <v>2</v>
      </c>
      <c r="AB7" s="30">
        <v>3</v>
      </c>
      <c r="AC7" s="30">
        <v>2</v>
      </c>
      <c r="AD7" s="30">
        <v>2</v>
      </c>
      <c r="AE7" s="30">
        <v>2</v>
      </c>
      <c r="AF7" s="30">
        <v>2</v>
      </c>
      <c r="AG7" s="30">
        <v>3</v>
      </c>
      <c r="AH7" s="30">
        <v>2</v>
      </c>
      <c r="AI7" s="30">
        <v>2</v>
      </c>
      <c r="AJ7" s="30">
        <v>2</v>
      </c>
      <c r="AK7" s="30">
        <v>2</v>
      </c>
      <c r="AL7" s="30">
        <v>2</v>
      </c>
      <c r="AM7" s="30">
        <v>2</v>
      </c>
      <c r="AN7" s="30">
        <v>3</v>
      </c>
      <c r="AO7" s="30">
        <v>3</v>
      </c>
      <c r="AP7" s="30">
        <v>2</v>
      </c>
      <c r="AQ7" s="30">
        <v>2</v>
      </c>
      <c r="AR7" s="30">
        <v>2</v>
      </c>
      <c r="AS7" s="30">
        <v>2</v>
      </c>
      <c r="AT7" s="30">
        <v>2</v>
      </c>
      <c r="AU7" s="30">
        <v>3</v>
      </c>
      <c r="AV7" s="30">
        <v>3</v>
      </c>
      <c r="AW7" s="36">
        <f t="shared" si="1"/>
        <v>56</v>
      </c>
      <c r="AX7" s="30">
        <v>4</v>
      </c>
      <c r="AY7" s="30">
        <v>2</v>
      </c>
      <c r="AZ7" s="30">
        <v>4</v>
      </c>
      <c r="BA7" s="30">
        <v>3</v>
      </c>
      <c r="BB7" s="30">
        <v>3</v>
      </c>
      <c r="BC7" s="30">
        <v>5</v>
      </c>
      <c r="BD7" s="30">
        <v>4</v>
      </c>
      <c r="BE7" s="30">
        <v>4</v>
      </c>
      <c r="BF7" s="30">
        <v>4</v>
      </c>
      <c r="BG7" s="30">
        <v>5</v>
      </c>
      <c r="BH7" s="30">
        <v>4</v>
      </c>
      <c r="BI7" s="30">
        <v>5</v>
      </c>
      <c r="BJ7" s="37">
        <f t="shared" si="2"/>
        <v>47</v>
      </c>
    </row>
    <row r="8" spans="1:62" ht="60" x14ac:dyDescent="0.25">
      <c r="A8">
        <v>26</v>
      </c>
      <c r="B8" s="1" t="s">
        <v>132</v>
      </c>
      <c r="C8" s="1" t="s">
        <v>140</v>
      </c>
      <c r="D8" s="1" t="s">
        <v>124</v>
      </c>
      <c r="E8" s="1" t="s">
        <v>125</v>
      </c>
      <c r="F8" s="1" t="s">
        <v>126</v>
      </c>
      <c r="G8" s="1" t="s">
        <v>163</v>
      </c>
      <c r="H8" s="1" t="s">
        <v>128</v>
      </c>
      <c r="I8" s="30">
        <v>3</v>
      </c>
      <c r="J8" s="30">
        <v>2</v>
      </c>
      <c r="K8" s="30">
        <v>4</v>
      </c>
      <c r="L8" s="30">
        <v>2</v>
      </c>
      <c r="M8" s="30">
        <v>3</v>
      </c>
      <c r="N8" s="30">
        <v>3</v>
      </c>
      <c r="O8" s="30">
        <v>2</v>
      </c>
      <c r="P8" s="30">
        <v>3</v>
      </c>
      <c r="Q8" s="30">
        <v>1</v>
      </c>
      <c r="R8" s="30">
        <v>3</v>
      </c>
      <c r="S8" s="30">
        <v>1</v>
      </c>
      <c r="T8" s="30">
        <v>4</v>
      </c>
      <c r="U8" s="30">
        <v>2</v>
      </c>
      <c r="V8" s="30">
        <v>4</v>
      </c>
      <c r="W8" s="48">
        <f t="shared" si="0"/>
        <v>37</v>
      </c>
      <c r="X8" s="30">
        <v>3</v>
      </c>
      <c r="Y8" s="30">
        <v>2</v>
      </c>
      <c r="Z8" s="30">
        <v>2</v>
      </c>
      <c r="AA8" s="30">
        <v>3</v>
      </c>
      <c r="AB8" s="30">
        <v>3</v>
      </c>
      <c r="AC8" s="30">
        <v>2</v>
      </c>
      <c r="AD8" s="30">
        <v>2</v>
      </c>
      <c r="AE8" s="30">
        <v>3</v>
      </c>
      <c r="AF8" s="30">
        <v>3</v>
      </c>
      <c r="AG8" s="30">
        <v>2</v>
      </c>
      <c r="AH8" s="30">
        <v>3</v>
      </c>
      <c r="AI8" s="30">
        <v>3</v>
      </c>
      <c r="AJ8" s="30">
        <v>2</v>
      </c>
      <c r="AK8" s="30">
        <v>2</v>
      </c>
      <c r="AL8" s="30">
        <v>2</v>
      </c>
      <c r="AM8" s="30">
        <v>2</v>
      </c>
      <c r="AN8" s="30">
        <v>3</v>
      </c>
      <c r="AO8" s="30">
        <v>2</v>
      </c>
      <c r="AP8" s="30">
        <v>3</v>
      </c>
      <c r="AQ8" s="30">
        <v>3</v>
      </c>
      <c r="AR8" s="30">
        <v>2</v>
      </c>
      <c r="AS8" s="30">
        <v>2</v>
      </c>
      <c r="AT8" s="30">
        <v>2</v>
      </c>
      <c r="AU8" s="30">
        <v>3</v>
      </c>
      <c r="AV8" s="30">
        <v>1</v>
      </c>
      <c r="AW8" s="36">
        <f t="shared" si="1"/>
        <v>60</v>
      </c>
      <c r="AX8" s="30">
        <v>4</v>
      </c>
      <c r="AY8" s="30">
        <v>3</v>
      </c>
      <c r="AZ8" s="30">
        <v>4</v>
      </c>
      <c r="BA8" s="30">
        <v>2</v>
      </c>
      <c r="BB8" s="30">
        <v>3</v>
      </c>
      <c r="BC8" s="30">
        <v>4</v>
      </c>
      <c r="BD8" s="30">
        <v>4</v>
      </c>
      <c r="BE8" s="30">
        <v>3</v>
      </c>
      <c r="BF8" s="30">
        <v>3</v>
      </c>
      <c r="BG8" s="30">
        <v>4</v>
      </c>
      <c r="BH8" s="30">
        <v>4</v>
      </c>
      <c r="BI8" s="30">
        <v>4</v>
      </c>
      <c r="BJ8" s="37">
        <f t="shared" si="2"/>
        <v>42</v>
      </c>
    </row>
    <row r="9" spans="1:62" ht="60" x14ac:dyDescent="0.25">
      <c r="A9">
        <v>27</v>
      </c>
      <c r="B9" s="1" t="s">
        <v>122</v>
      </c>
      <c r="C9" s="1" t="s">
        <v>140</v>
      </c>
      <c r="D9" s="1" t="s">
        <v>135</v>
      </c>
      <c r="E9" s="1" t="s">
        <v>165</v>
      </c>
      <c r="F9" s="1" t="s">
        <v>126</v>
      </c>
      <c r="G9" s="1" t="s">
        <v>141</v>
      </c>
      <c r="H9" s="1" t="s">
        <v>128</v>
      </c>
      <c r="I9" s="30">
        <v>2</v>
      </c>
      <c r="J9" s="30">
        <v>1</v>
      </c>
      <c r="K9" s="30">
        <v>2</v>
      </c>
      <c r="L9" s="30">
        <v>2</v>
      </c>
      <c r="M9" s="30">
        <v>2</v>
      </c>
      <c r="N9" s="30">
        <v>1</v>
      </c>
      <c r="O9" s="30">
        <v>1</v>
      </c>
      <c r="P9" s="30">
        <v>1</v>
      </c>
      <c r="Q9" s="30">
        <v>2</v>
      </c>
      <c r="R9" s="30">
        <v>2</v>
      </c>
      <c r="S9" s="30">
        <v>2</v>
      </c>
      <c r="T9" s="30">
        <v>4</v>
      </c>
      <c r="U9" s="30">
        <v>3</v>
      </c>
      <c r="V9" s="30">
        <v>2</v>
      </c>
      <c r="W9" s="48">
        <f t="shared" si="0"/>
        <v>27</v>
      </c>
      <c r="X9" s="30">
        <v>3</v>
      </c>
      <c r="Y9" s="30">
        <v>3</v>
      </c>
      <c r="Z9" s="30">
        <v>3</v>
      </c>
      <c r="AA9" s="30">
        <v>4</v>
      </c>
      <c r="AB9" s="30">
        <v>4</v>
      </c>
      <c r="AC9" s="30">
        <v>4</v>
      </c>
      <c r="AD9" s="30">
        <v>2</v>
      </c>
      <c r="AE9" s="30">
        <v>4</v>
      </c>
      <c r="AF9" s="30">
        <v>3</v>
      </c>
      <c r="AG9" s="30">
        <v>4</v>
      </c>
      <c r="AH9" s="30">
        <v>3</v>
      </c>
      <c r="AI9" s="30">
        <v>4</v>
      </c>
      <c r="AJ9" s="30">
        <v>2</v>
      </c>
      <c r="AK9" s="30">
        <v>3</v>
      </c>
      <c r="AL9" s="30">
        <v>4</v>
      </c>
      <c r="AM9" s="30">
        <v>2</v>
      </c>
      <c r="AN9" s="30">
        <v>4</v>
      </c>
      <c r="AO9" s="30">
        <v>3</v>
      </c>
      <c r="AP9" s="30">
        <v>3</v>
      </c>
      <c r="AQ9" s="30">
        <v>2</v>
      </c>
      <c r="AR9" s="30">
        <v>2</v>
      </c>
      <c r="AS9" s="30">
        <v>2</v>
      </c>
      <c r="AT9" s="30">
        <v>3</v>
      </c>
      <c r="AU9" s="30">
        <v>3</v>
      </c>
      <c r="AV9" s="30">
        <v>4</v>
      </c>
      <c r="AW9" s="36">
        <f t="shared" si="1"/>
        <v>78</v>
      </c>
      <c r="AX9" s="30">
        <v>5</v>
      </c>
      <c r="AY9" s="30">
        <v>2</v>
      </c>
      <c r="AZ9" s="30">
        <v>2</v>
      </c>
      <c r="BA9" s="30">
        <v>4</v>
      </c>
      <c r="BB9" s="30">
        <v>2</v>
      </c>
      <c r="BC9" s="30">
        <v>5</v>
      </c>
      <c r="BD9" s="30">
        <v>3</v>
      </c>
      <c r="BE9" s="30">
        <v>3</v>
      </c>
      <c r="BF9" s="30">
        <v>5</v>
      </c>
      <c r="BG9" s="30">
        <v>5</v>
      </c>
      <c r="BH9" s="30">
        <v>2</v>
      </c>
      <c r="BI9" s="30">
        <v>4</v>
      </c>
      <c r="BJ9" s="37">
        <f t="shared" si="2"/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356D-1A39-4B3A-B558-C44BF4A7601D}">
  <dimension ref="A1:V20"/>
  <sheetViews>
    <sheetView topLeftCell="F1" workbookViewId="0">
      <selection activeCell="X1" sqref="X1:X2"/>
    </sheetView>
  </sheetViews>
  <sheetFormatPr defaultRowHeight="15" x14ac:dyDescent="0.25"/>
  <cols>
    <col min="1" max="1" width="5" style="15" customWidth="1"/>
    <col min="2" max="2" width="6.28515625" style="15" customWidth="1"/>
    <col min="3" max="3" width="5.140625" style="15" customWidth="1"/>
    <col min="4" max="4" width="5.42578125" style="15" customWidth="1"/>
    <col min="5" max="5" width="5" style="15" customWidth="1"/>
    <col min="6" max="6" width="5.7109375" style="15" customWidth="1"/>
    <col min="7" max="7" width="7" style="15" customWidth="1"/>
    <col min="8" max="8" width="5" style="15" customWidth="1"/>
    <col min="9" max="16" width="8.7109375" style="15"/>
    <col min="17" max="17" width="12.140625" style="15" customWidth="1"/>
    <col min="18" max="18" width="12.7109375" style="18" customWidth="1"/>
    <col min="19" max="19" width="14.85546875" style="18" customWidth="1"/>
    <col min="20" max="20" width="13.5703125" style="18" customWidth="1"/>
    <col min="21" max="21" width="11.28515625" style="18" customWidth="1"/>
    <col min="22" max="22" width="12" customWidth="1"/>
    <col min="24" max="24" width="27.42578125" customWidth="1"/>
    <col min="25" max="25" width="23.42578125" customWidth="1"/>
  </cols>
  <sheetData>
    <row r="1" spans="1:22" s="7" customFormat="1" x14ac:dyDescent="0.25">
      <c r="A1" s="31" t="s">
        <v>0</v>
      </c>
      <c r="B1" s="32" t="s">
        <v>170</v>
      </c>
      <c r="C1" s="32" t="s">
        <v>146</v>
      </c>
      <c r="D1" s="32" t="s">
        <v>62</v>
      </c>
      <c r="E1" s="32" t="s">
        <v>147</v>
      </c>
      <c r="F1" s="32" t="s">
        <v>171</v>
      </c>
      <c r="G1" s="32" t="s">
        <v>172</v>
      </c>
      <c r="H1" s="32" t="s">
        <v>173</v>
      </c>
      <c r="I1" s="32" t="s">
        <v>174</v>
      </c>
      <c r="J1" s="32" t="s">
        <v>175</v>
      </c>
      <c r="K1" s="32" t="s">
        <v>176</v>
      </c>
      <c r="L1" s="32" t="s">
        <v>177</v>
      </c>
      <c r="M1" s="32" t="s">
        <v>178</v>
      </c>
      <c r="N1" s="32" t="s">
        <v>179</v>
      </c>
      <c r="O1" s="32" t="s">
        <v>180</v>
      </c>
      <c r="P1" s="32" t="s">
        <v>181</v>
      </c>
      <c r="Q1" s="24" t="s">
        <v>182</v>
      </c>
      <c r="R1" s="8" t="s">
        <v>183</v>
      </c>
      <c r="S1" s="9" t="s">
        <v>184</v>
      </c>
      <c r="T1" s="9" t="s">
        <v>185</v>
      </c>
      <c r="U1" s="10" t="s">
        <v>186</v>
      </c>
      <c r="V1" s="25" t="s">
        <v>187</v>
      </c>
    </row>
    <row r="2" spans="1:22" x14ac:dyDescent="0.25">
      <c r="A2" s="18">
        <v>1</v>
      </c>
      <c r="B2">
        <v>1</v>
      </c>
      <c r="C2" s="30">
        <v>25</v>
      </c>
      <c r="D2" s="30">
        <v>2</v>
      </c>
      <c r="E2" s="30">
        <v>2</v>
      </c>
      <c r="F2" s="15">
        <v>1</v>
      </c>
      <c r="G2" s="15">
        <v>1</v>
      </c>
      <c r="H2" s="15">
        <v>4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42">
        <v>34</v>
      </c>
      <c r="R2" s="40">
        <v>32</v>
      </c>
      <c r="S2" s="39">
        <v>74</v>
      </c>
      <c r="T2" s="19">
        <v>72</v>
      </c>
      <c r="U2" s="46">
        <v>40</v>
      </c>
      <c r="V2" s="11">
        <v>45</v>
      </c>
    </row>
    <row r="3" spans="1:22" x14ac:dyDescent="0.25">
      <c r="A3" s="18">
        <v>2</v>
      </c>
      <c r="B3">
        <v>1</v>
      </c>
      <c r="C3" s="30">
        <v>26</v>
      </c>
      <c r="D3" s="30">
        <v>2</v>
      </c>
      <c r="E3" s="30">
        <v>2</v>
      </c>
      <c r="F3" s="15">
        <v>1</v>
      </c>
      <c r="G3" s="15">
        <v>1</v>
      </c>
      <c r="H3" s="15">
        <v>3</v>
      </c>
      <c r="I3" s="15">
        <v>1</v>
      </c>
      <c r="J3" s="15">
        <v>1</v>
      </c>
      <c r="K3" s="15">
        <v>0</v>
      </c>
      <c r="L3" s="15">
        <v>0</v>
      </c>
      <c r="M3" s="15">
        <v>1</v>
      </c>
      <c r="N3" s="15">
        <v>0</v>
      </c>
      <c r="O3" s="15">
        <v>0</v>
      </c>
      <c r="P3" s="15">
        <v>0</v>
      </c>
      <c r="Q3" s="43">
        <v>33</v>
      </c>
      <c r="R3" s="41">
        <v>22</v>
      </c>
      <c r="S3" s="39">
        <v>81</v>
      </c>
      <c r="T3" s="19">
        <v>72</v>
      </c>
      <c r="U3" s="47">
        <v>53</v>
      </c>
      <c r="V3" s="11">
        <v>48</v>
      </c>
    </row>
    <row r="4" spans="1:22" x14ac:dyDescent="0.25">
      <c r="A4" s="18">
        <v>3</v>
      </c>
      <c r="B4">
        <v>1</v>
      </c>
      <c r="C4" s="30">
        <v>25</v>
      </c>
      <c r="D4" s="30">
        <v>1</v>
      </c>
      <c r="E4" s="30">
        <v>2</v>
      </c>
      <c r="F4" s="15">
        <v>2</v>
      </c>
      <c r="G4" s="15">
        <v>1</v>
      </c>
      <c r="H4" s="15">
        <v>3</v>
      </c>
      <c r="I4" s="15">
        <v>0</v>
      </c>
      <c r="J4" s="15">
        <v>0</v>
      </c>
      <c r="K4" s="15">
        <v>0</v>
      </c>
      <c r="L4" s="15">
        <v>1</v>
      </c>
      <c r="M4" s="15">
        <v>0</v>
      </c>
      <c r="N4" s="15">
        <v>0</v>
      </c>
      <c r="O4" s="15">
        <v>0</v>
      </c>
      <c r="P4" s="15">
        <v>0</v>
      </c>
      <c r="Q4" s="43">
        <v>36</v>
      </c>
      <c r="R4" s="41">
        <v>23</v>
      </c>
      <c r="S4" s="39">
        <v>67</v>
      </c>
      <c r="T4" s="19">
        <v>78</v>
      </c>
      <c r="U4" s="47">
        <v>38</v>
      </c>
      <c r="V4" s="11">
        <v>40</v>
      </c>
    </row>
    <row r="5" spans="1:22" x14ac:dyDescent="0.25">
      <c r="A5" s="18">
        <v>4</v>
      </c>
      <c r="B5">
        <v>1</v>
      </c>
      <c r="C5" s="30">
        <v>26</v>
      </c>
      <c r="D5" s="30">
        <v>1</v>
      </c>
      <c r="E5" s="30">
        <v>1</v>
      </c>
      <c r="F5" s="15">
        <v>1</v>
      </c>
      <c r="G5" s="15">
        <v>1</v>
      </c>
      <c r="H5" s="15">
        <v>3</v>
      </c>
      <c r="I5" s="15">
        <v>0</v>
      </c>
      <c r="J5" s="15">
        <v>0</v>
      </c>
      <c r="K5" s="15">
        <v>0</v>
      </c>
      <c r="L5" s="15">
        <v>1</v>
      </c>
      <c r="M5" s="15">
        <v>1</v>
      </c>
      <c r="N5" s="15">
        <v>0</v>
      </c>
      <c r="O5" s="15">
        <v>0</v>
      </c>
      <c r="P5" s="15">
        <v>0</v>
      </c>
      <c r="Q5" s="43">
        <v>15</v>
      </c>
      <c r="R5" s="41">
        <v>14</v>
      </c>
      <c r="S5" s="39">
        <v>78</v>
      </c>
      <c r="T5" s="19">
        <v>83</v>
      </c>
      <c r="U5" s="47">
        <v>43</v>
      </c>
      <c r="V5" s="11">
        <v>46</v>
      </c>
    </row>
    <row r="6" spans="1:22" x14ac:dyDescent="0.25">
      <c r="A6" s="18">
        <v>5</v>
      </c>
      <c r="B6">
        <v>1</v>
      </c>
      <c r="C6" s="30">
        <v>32</v>
      </c>
      <c r="D6" s="30">
        <v>2</v>
      </c>
      <c r="E6" s="30">
        <v>2</v>
      </c>
      <c r="F6" s="15">
        <v>1</v>
      </c>
      <c r="G6" s="15">
        <v>1</v>
      </c>
      <c r="H6" s="15">
        <v>4</v>
      </c>
      <c r="I6" s="15">
        <v>1</v>
      </c>
      <c r="J6" s="15">
        <v>1</v>
      </c>
      <c r="K6" s="15">
        <v>1</v>
      </c>
      <c r="L6" s="15">
        <v>1</v>
      </c>
      <c r="M6" s="15">
        <v>1</v>
      </c>
      <c r="N6" s="15">
        <v>1</v>
      </c>
      <c r="O6" s="15">
        <v>1</v>
      </c>
      <c r="P6" s="15">
        <v>1</v>
      </c>
      <c r="Q6" s="43">
        <v>44</v>
      </c>
      <c r="R6" s="41">
        <v>35</v>
      </c>
      <c r="S6" s="39">
        <v>71</v>
      </c>
      <c r="T6" s="19">
        <v>83</v>
      </c>
      <c r="U6" s="47">
        <v>45</v>
      </c>
      <c r="V6" s="11">
        <v>49</v>
      </c>
    </row>
    <row r="7" spans="1:22" x14ac:dyDescent="0.25">
      <c r="A7" s="18">
        <v>6</v>
      </c>
      <c r="B7">
        <v>1</v>
      </c>
      <c r="C7" s="30">
        <v>37</v>
      </c>
      <c r="D7" s="30">
        <v>2</v>
      </c>
      <c r="E7" s="30">
        <v>1</v>
      </c>
      <c r="F7" s="15">
        <v>1</v>
      </c>
      <c r="G7" s="15">
        <v>1</v>
      </c>
      <c r="H7" s="15">
        <v>3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43">
        <v>22</v>
      </c>
      <c r="R7" s="41">
        <v>20</v>
      </c>
      <c r="S7" s="39">
        <v>76</v>
      </c>
      <c r="T7" s="19">
        <v>79</v>
      </c>
      <c r="U7" s="47">
        <v>42</v>
      </c>
      <c r="V7" s="11">
        <v>37</v>
      </c>
    </row>
    <row r="8" spans="1:22" x14ac:dyDescent="0.25">
      <c r="A8" s="18">
        <v>7</v>
      </c>
      <c r="B8">
        <v>1</v>
      </c>
      <c r="C8" s="30">
        <v>30</v>
      </c>
      <c r="D8" s="30">
        <v>2</v>
      </c>
      <c r="E8" s="30">
        <v>2</v>
      </c>
      <c r="F8" s="15">
        <v>1</v>
      </c>
      <c r="G8" s="15">
        <v>1</v>
      </c>
      <c r="H8" s="15">
        <v>3</v>
      </c>
      <c r="I8" s="15">
        <v>0</v>
      </c>
      <c r="J8" s="15">
        <v>0</v>
      </c>
      <c r="K8" s="15">
        <v>0</v>
      </c>
      <c r="L8" s="15">
        <v>1</v>
      </c>
      <c r="M8" s="15">
        <v>0</v>
      </c>
      <c r="N8" s="15">
        <v>0</v>
      </c>
      <c r="O8" s="15">
        <v>0</v>
      </c>
      <c r="P8" s="15">
        <v>0</v>
      </c>
      <c r="Q8" s="43">
        <v>34</v>
      </c>
      <c r="R8" s="41">
        <v>37</v>
      </c>
      <c r="S8" s="39">
        <v>69</v>
      </c>
      <c r="T8" s="19">
        <v>58</v>
      </c>
      <c r="U8" s="47">
        <v>31</v>
      </c>
      <c r="V8" s="11">
        <v>28</v>
      </c>
    </row>
    <row r="9" spans="1:22" ht="15.75" customHeight="1" x14ac:dyDescent="0.25">
      <c r="A9" s="18">
        <v>8</v>
      </c>
      <c r="B9">
        <v>1</v>
      </c>
      <c r="C9" s="30">
        <v>28</v>
      </c>
      <c r="D9" s="30">
        <v>2</v>
      </c>
      <c r="E9" s="30">
        <v>2</v>
      </c>
      <c r="F9" s="15">
        <v>2</v>
      </c>
      <c r="G9" s="15">
        <v>1</v>
      </c>
      <c r="H9" s="15">
        <v>2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43">
        <v>27</v>
      </c>
      <c r="R9" s="41">
        <v>25</v>
      </c>
      <c r="S9" s="39">
        <v>83</v>
      </c>
      <c r="T9" s="19">
        <v>89</v>
      </c>
      <c r="U9" s="47">
        <v>53</v>
      </c>
      <c r="V9" s="11">
        <v>55</v>
      </c>
    </row>
    <row r="10" spans="1:22" s="58" customFormat="1" ht="15.75" customHeight="1" x14ac:dyDescent="0.25">
      <c r="A10" s="57"/>
      <c r="C10" s="59"/>
      <c r="D10" s="59"/>
      <c r="E10" s="59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1" t="s">
        <v>206</v>
      </c>
      <c r="R10" s="62" t="s">
        <v>207</v>
      </c>
      <c r="S10" s="59" t="s">
        <v>208</v>
      </c>
      <c r="T10" s="57" t="s">
        <v>209</v>
      </c>
      <c r="U10" s="63" t="s">
        <v>210</v>
      </c>
      <c r="V10" s="60" t="s">
        <v>211</v>
      </c>
    </row>
    <row r="11" spans="1:22" s="51" customFormat="1" x14ac:dyDescent="0.25">
      <c r="A11" s="50"/>
      <c r="C11" s="52"/>
      <c r="D11" s="52"/>
      <c r="E11" s="52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4"/>
      <c r="R11" s="55"/>
      <c r="S11" s="52"/>
      <c r="T11" s="50"/>
      <c r="U11" s="56"/>
      <c r="V11" s="53"/>
    </row>
    <row r="12" spans="1:22" x14ac:dyDescent="0.25">
      <c r="A12" s="18">
        <v>20</v>
      </c>
      <c r="B12">
        <v>2</v>
      </c>
      <c r="C12" s="30">
        <v>26</v>
      </c>
      <c r="D12" s="30">
        <v>2</v>
      </c>
      <c r="E12" s="30">
        <v>1</v>
      </c>
      <c r="F12" s="15">
        <v>3</v>
      </c>
      <c r="G12" s="15">
        <v>1</v>
      </c>
      <c r="H12" s="15">
        <v>2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3">
        <v>16</v>
      </c>
      <c r="R12" s="16">
        <v>16</v>
      </c>
      <c r="S12" s="19">
        <v>76</v>
      </c>
      <c r="T12" s="19">
        <v>69</v>
      </c>
      <c r="U12" s="21">
        <v>50</v>
      </c>
      <c r="V12" s="11">
        <v>47</v>
      </c>
    </row>
    <row r="13" spans="1:22" x14ac:dyDescent="0.25">
      <c r="A13" s="18">
        <v>21</v>
      </c>
      <c r="B13">
        <v>2</v>
      </c>
      <c r="C13" s="30">
        <v>26</v>
      </c>
      <c r="D13" s="30">
        <v>1</v>
      </c>
      <c r="E13" s="30">
        <v>1</v>
      </c>
      <c r="F13" s="15">
        <v>1</v>
      </c>
      <c r="G13" s="15">
        <v>1</v>
      </c>
      <c r="H13" s="15">
        <v>2</v>
      </c>
      <c r="I13" s="15">
        <v>0</v>
      </c>
      <c r="J13" s="15">
        <v>0</v>
      </c>
      <c r="K13" s="15">
        <v>1</v>
      </c>
      <c r="L13" s="15">
        <v>0</v>
      </c>
      <c r="M13" s="15">
        <v>0</v>
      </c>
      <c r="N13" s="15">
        <v>0</v>
      </c>
      <c r="O13" s="15">
        <v>1</v>
      </c>
      <c r="P13" s="15">
        <v>0</v>
      </c>
      <c r="Q13" s="13">
        <v>18</v>
      </c>
      <c r="R13" s="16">
        <v>29</v>
      </c>
      <c r="S13" s="19">
        <v>85</v>
      </c>
      <c r="T13" s="19">
        <v>76</v>
      </c>
      <c r="U13" s="21">
        <v>43</v>
      </c>
      <c r="V13" s="11">
        <v>39</v>
      </c>
    </row>
    <row r="14" spans="1:22" x14ac:dyDescent="0.25">
      <c r="A14" s="18">
        <v>22</v>
      </c>
      <c r="B14">
        <v>2</v>
      </c>
      <c r="C14" s="30">
        <v>27</v>
      </c>
      <c r="D14" s="30">
        <v>2</v>
      </c>
      <c r="E14" s="30">
        <v>2</v>
      </c>
      <c r="F14" s="15">
        <v>1</v>
      </c>
      <c r="G14" s="15">
        <v>2</v>
      </c>
      <c r="H14" s="15">
        <v>2</v>
      </c>
      <c r="I14" s="15">
        <v>1</v>
      </c>
      <c r="J14" s="15">
        <v>1</v>
      </c>
      <c r="K14" s="15">
        <v>0</v>
      </c>
      <c r="L14" s="15">
        <v>1</v>
      </c>
      <c r="M14" s="15">
        <v>1</v>
      </c>
      <c r="N14" s="15">
        <v>1</v>
      </c>
      <c r="O14" s="15">
        <v>0</v>
      </c>
      <c r="P14" s="15">
        <v>1</v>
      </c>
      <c r="Q14" s="13">
        <v>29</v>
      </c>
      <c r="R14" s="16">
        <v>31</v>
      </c>
      <c r="S14" s="19">
        <v>60</v>
      </c>
      <c r="T14" s="19">
        <v>60</v>
      </c>
      <c r="U14" s="21">
        <v>40</v>
      </c>
      <c r="V14" s="11">
        <v>39</v>
      </c>
    </row>
    <row r="15" spans="1:22" x14ac:dyDescent="0.25">
      <c r="A15" s="18">
        <v>23</v>
      </c>
      <c r="B15">
        <v>2</v>
      </c>
      <c r="C15" s="30">
        <v>24</v>
      </c>
      <c r="D15" s="30">
        <v>1</v>
      </c>
      <c r="E15" s="30">
        <v>2</v>
      </c>
      <c r="F15" s="15">
        <v>1</v>
      </c>
      <c r="G15" s="15">
        <v>1</v>
      </c>
      <c r="H15" s="15">
        <v>1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3">
        <v>33</v>
      </c>
      <c r="R15" s="16"/>
      <c r="S15" s="19">
        <v>60</v>
      </c>
      <c r="T15" s="19"/>
      <c r="U15" s="21">
        <v>43</v>
      </c>
      <c r="V15" s="21"/>
    </row>
    <row r="16" spans="1:22" x14ac:dyDescent="0.25">
      <c r="A16" s="18">
        <v>24</v>
      </c>
      <c r="B16">
        <v>2</v>
      </c>
      <c r="C16" s="30">
        <v>23</v>
      </c>
      <c r="D16" s="30">
        <v>1</v>
      </c>
      <c r="E16" s="30">
        <v>2</v>
      </c>
      <c r="F16" s="15">
        <v>1</v>
      </c>
      <c r="G16" s="15">
        <v>1</v>
      </c>
      <c r="H16" s="15">
        <v>4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3">
        <v>24</v>
      </c>
      <c r="R16" s="16">
        <v>36</v>
      </c>
      <c r="S16" s="19">
        <v>82</v>
      </c>
      <c r="T16" s="19">
        <v>72</v>
      </c>
      <c r="U16" s="21">
        <v>47</v>
      </c>
      <c r="V16" s="11">
        <v>46</v>
      </c>
    </row>
    <row r="17" spans="1:22" x14ac:dyDescent="0.25">
      <c r="A17" s="18">
        <v>25</v>
      </c>
      <c r="B17">
        <v>2</v>
      </c>
      <c r="C17" s="30">
        <v>24</v>
      </c>
      <c r="D17" s="30">
        <v>1</v>
      </c>
      <c r="E17" s="30">
        <v>2</v>
      </c>
      <c r="F17" s="15">
        <v>4</v>
      </c>
      <c r="G17" s="15">
        <v>1</v>
      </c>
      <c r="H17" s="15">
        <v>4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3">
        <v>30</v>
      </c>
      <c r="R17" s="16">
        <v>32</v>
      </c>
      <c r="S17" s="19">
        <v>54</v>
      </c>
      <c r="T17" s="19">
        <v>56</v>
      </c>
      <c r="U17" s="21">
        <v>40</v>
      </c>
      <c r="V17" s="11">
        <v>47</v>
      </c>
    </row>
    <row r="18" spans="1:22" x14ac:dyDescent="0.25">
      <c r="A18" s="18">
        <v>26</v>
      </c>
      <c r="B18">
        <v>2</v>
      </c>
      <c r="C18" s="30">
        <v>26</v>
      </c>
      <c r="D18" s="30">
        <v>1</v>
      </c>
      <c r="E18" s="30">
        <v>2</v>
      </c>
      <c r="F18" s="15">
        <v>1</v>
      </c>
      <c r="G18" s="15">
        <v>1</v>
      </c>
      <c r="H18" s="15">
        <v>1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3">
        <v>28</v>
      </c>
      <c r="R18" s="16">
        <v>37</v>
      </c>
      <c r="S18" s="19">
        <v>71</v>
      </c>
      <c r="T18" s="19">
        <v>60</v>
      </c>
      <c r="U18" s="21">
        <v>44</v>
      </c>
      <c r="V18" s="11">
        <v>42</v>
      </c>
    </row>
    <row r="19" spans="1:22" x14ac:dyDescent="0.25">
      <c r="A19" s="23">
        <v>27</v>
      </c>
      <c r="B19" s="49">
        <v>2</v>
      </c>
      <c r="C19" s="44">
        <v>27</v>
      </c>
      <c r="D19" s="45">
        <v>2</v>
      </c>
      <c r="E19" s="45">
        <v>1</v>
      </c>
      <c r="F19" s="29">
        <v>4</v>
      </c>
      <c r="G19" s="29">
        <v>1</v>
      </c>
      <c r="H19" s="29">
        <v>2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14">
        <v>35</v>
      </c>
      <c r="R19" s="17">
        <v>27</v>
      </c>
      <c r="S19" s="20">
        <v>82</v>
      </c>
      <c r="T19" s="20">
        <v>78</v>
      </c>
      <c r="U19" s="22">
        <v>43</v>
      </c>
      <c r="V19" s="12">
        <v>42</v>
      </c>
    </row>
    <row r="20" spans="1:22" x14ac:dyDescent="0.25">
      <c r="Q20" s="15" t="s">
        <v>212</v>
      </c>
      <c r="R20" s="18" t="s">
        <v>213</v>
      </c>
      <c r="S20" s="18" t="s">
        <v>214</v>
      </c>
      <c r="T20" s="18" t="s">
        <v>215</v>
      </c>
      <c r="U20" s="18" t="s">
        <v>216</v>
      </c>
      <c r="V20" s="60" t="s">
        <v>217</v>
      </c>
    </row>
  </sheetData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B86D-B043-4F43-8FFC-02B593003C76}">
  <dimension ref="A1:H16"/>
  <sheetViews>
    <sheetView tabSelected="1" workbookViewId="0">
      <selection activeCell="A16" sqref="A16"/>
    </sheetView>
  </sheetViews>
  <sheetFormatPr defaultRowHeight="15" x14ac:dyDescent="0.25"/>
  <cols>
    <col min="1" max="1" width="11.7109375" customWidth="1"/>
    <col min="2" max="2" width="12.85546875" customWidth="1"/>
    <col min="3" max="3" width="10" customWidth="1"/>
    <col min="4" max="4" width="10.28515625" customWidth="1"/>
    <col min="5" max="5" width="14.42578125" customWidth="1"/>
    <col min="6" max="6" width="17.140625" customWidth="1"/>
    <col min="7" max="7" width="17" customWidth="1"/>
    <col min="8" max="8" width="13.140625" customWidth="1"/>
  </cols>
  <sheetData>
    <row r="1" spans="1:8" s="7" customFormat="1" x14ac:dyDescent="0.25">
      <c r="A1" s="7" t="s">
        <v>147</v>
      </c>
      <c r="B1" s="7" t="s">
        <v>171</v>
      </c>
      <c r="C1" s="7" t="s">
        <v>188</v>
      </c>
      <c r="D1" s="7" t="s">
        <v>173</v>
      </c>
      <c r="E1" s="7" t="s">
        <v>189</v>
      </c>
      <c r="F1" s="7" t="s">
        <v>219</v>
      </c>
      <c r="G1" s="7" t="s">
        <v>190</v>
      </c>
      <c r="H1" s="7" t="s">
        <v>218</v>
      </c>
    </row>
    <row r="2" spans="1:8" x14ac:dyDescent="0.25">
      <c r="A2" t="s">
        <v>191</v>
      </c>
      <c r="B2" t="s">
        <v>192</v>
      </c>
      <c r="C2" t="s">
        <v>193</v>
      </c>
      <c r="D2" t="s">
        <v>194</v>
      </c>
      <c r="E2" t="s">
        <v>195</v>
      </c>
      <c r="F2" t="s">
        <v>195</v>
      </c>
      <c r="G2" t="s">
        <v>195</v>
      </c>
      <c r="H2" t="s">
        <v>195</v>
      </c>
    </row>
    <row r="3" spans="1:8" x14ac:dyDescent="0.25">
      <c r="A3" t="s">
        <v>196</v>
      </c>
      <c r="B3" t="s">
        <v>197</v>
      </c>
      <c r="C3" t="s">
        <v>198</v>
      </c>
      <c r="D3" t="s">
        <v>199</v>
      </c>
      <c r="E3" t="s">
        <v>200</v>
      </c>
      <c r="F3" t="s">
        <v>200</v>
      </c>
      <c r="G3" t="s">
        <v>200</v>
      </c>
      <c r="H3" t="s">
        <v>200</v>
      </c>
    </row>
    <row r="4" spans="1:8" x14ac:dyDescent="0.25">
      <c r="B4" t="s">
        <v>201</v>
      </c>
      <c r="D4" t="s">
        <v>202</v>
      </c>
    </row>
    <row r="5" spans="1:8" x14ac:dyDescent="0.25">
      <c r="B5" t="s">
        <v>203</v>
      </c>
      <c r="D5" t="s">
        <v>204</v>
      </c>
    </row>
    <row r="6" spans="1:8" x14ac:dyDescent="0.25">
      <c r="D6" t="s">
        <v>205</v>
      </c>
    </row>
    <row r="8" spans="1:8" x14ac:dyDescent="0.25">
      <c r="A8" t="s">
        <v>220</v>
      </c>
    </row>
    <row r="9" spans="1:8" x14ac:dyDescent="0.25">
      <c r="A9" t="s">
        <v>221</v>
      </c>
    </row>
    <row r="10" spans="1:8" x14ac:dyDescent="0.25">
      <c r="A10" t="s">
        <v>222</v>
      </c>
    </row>
    <row r="12" spans="1:8" x14ac:dyDescent="0.25">
      <c r="A12" t="s">
        <v>223</v>
      </c>
    </row>
    <row r="13" spans="1:8" x14ac:dyDescent="0.25">
      <c r="A13" t="s">
        <v>224</v>
      </c>
    </row>
    <row r="15" spans="1:8" x14ac:dyDescent="0.25">
      <c r="A15" s="7" t="s">
        <v>225</v>
      </c>
    </row>
    <row r="16" spans="1:8" x14ac:dyDescent="0.25">
      <c r="A16" s="28" t="s">
        <v>226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5A059EEAE994881078E0961352CB6" ma:contentTypeVersion="10" ma:contentTypeDescription="Create a new document." ma:contentTypeScope="" ma:versionID="ca25c03acf259c15fff2c142e4f69710">
  <xsd:schema xmlns:xsd="http://www.w3.org/2001/XMLSchema" xmlns:xs="http://www.w3.org/2001/XMLSchema" xmlns:p="http://schemas.microsoft.com/office/2006/metadata/properties" xmlns:ns2="54a7b571-baef-4922-a2b8-1f8945edbbc3" xmlns:ns3="376363d9-90c3-49d0-81ab-bd373883b7cb" targetNamespace="http://schemas.microsoft.com/office/2006/metadata/properties" ma:root="true" ma:fieldsID="c05c450438c4af1ff2ea09062778c843" ns2:_="" ns3:_="">
    <xsd:import namespace="54a7b571-baef-4922-a2b8-1f8945edbbc3"/>
    <xsd:import namespace="376363d9-90c3-49d0-81ab-bd373883b7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7b571-baef-4922-a2b8-1f8945edb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ba1e7a-9a18-4769-8a6e-2c7509d365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6363d9-90c3-49d0-81ab-bd373883b7c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9f2367-16da-4af0-acb5-5787f5b6cecd}" ma:internalName="TaxCatchAll" ma:showField="CatchAllData" ma:web="376363d9-90c3-49d0-81ab-bd373883b7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6363d9-90c3-49d0-81ab-bd373883b7cb" xsi:nil="true"/>
    <lcf76f155ced4ddcb4097134ff3c332f xmlns="54a7b571-baef-4922-a2b8-1f8945edbb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D44BFF-1B4B-4D9B-BCE6-C17FC64BD0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15F315-FBF8-441C-B3C2-30A10C866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7b571-baef-4922-a2b8-1f8945edbbc3"/>
    <ds:schemaRef ds:uri="376363d9-90c3-49d0-81ab-bd373883b7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CC43A4-3BD5-43EA-AA32-292E2255361A}">
  <ds:schemaRefs>
    <ds:schemaRef ds:uri="http://schemas.microsoft.com/office/2006/metadata/properties"/>
    <ds:schemaRef ds:uri="http://schemas.microsoft.com/office/infopath/2007/PartnerControls"/>
    <ds:schemaRef ds:uri="376363d9-90c3-49d0-81ab-bd373883b7cb"/>
    <ds:schemaRef ds:uri="54a7b571-baef-4922-a2b8-1f8945edbbc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Intervention - T1</vt:lpstr>
      <vt:lpstr>Intervention - T2</vt:lpstr>
      <vt:lpstr>Control - T1</vt:lpstr>
      <vt:lpstr>Control - T2</vt:lpstr>
      <vt:lpstr>Total scores</vt:lpstr>
      <vt:lpstr>Coding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Edie Sperling</cp:lastModifiedBy>
  <cp:revision/>
  <dcterms:created xsi:type="dcterms:W3CDTF">2023-06-07T15:50:59Z</dcterms:created>
  <dcterms:modified xsi:type="dcterms:W3CDTF">2023-08-02T23:33:48Z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0x010100D965A059EEAE994881078E0961352CB6</vt:lpwstr>
  </property>
  <property fmtid="{D5CDD505-2E9C-101B-9397-08002B2CF9AE}" pid="3" name="MediaServiceImageTags">
    <vt:lpwstr/>
  </property>
</Properties>
</file>